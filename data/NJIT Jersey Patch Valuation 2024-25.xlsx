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JIT Jersey Patch Valuation" sheetId="1" r:id="rId5"/>
    <sheet state="visible" name="Incremental Assets" sheetId="2" r:id="rId6"/>
    <sheet state="visible" name="Incremental Assets W JP" sheetId="3" r:id="rId7"/>
    <sheet state="visible" name="Package Breakdown by Asset" sheetId="4" r:id="rId8"/>
    <sheet state="visible" name="Package Breakdown by Sport" sheetId="5" r:id="rId9"/>
    <sheet state="visible" name="Package Breakdown by Asset Cate" sheetId="6" r:id="rId10"/>
    <sheet state="visible" name="Package Breakdown by Channel" sheetId="7" r:id="rId11"/>
    <sheet state="visible" name="Social Value" sheetId="8" r:id="rId12"/>
    <sheet state="visible" name="Pivot Table 3" sheetId="9" r:id="rId13"/>
    <sheet state="visible" name="Game Pivot" sheetId="10" r:id="rId14"/>
    <sheet state="visible" name="Social Pivot" sheetId="11" r:id="rId15"/>
    <sheet state="visible" name="Full Breakdown" sheetId="12" r:id="rId16"/>
    <sheet state="visible" name="KEY" sheetId="13" r:id="rId17"/>
  </sheets>
  <definedNames>
    <definedName hidden="1" localSheetId="0" name="_xlnm._FilterDatabase">'NJIT Jersey Patch Valuation'!$A$1:$AG$1000</definedName>
    <definedName hidden="1" localSheetId="1" name="_xlnm._FilterDatabase">'Incremental Assets'!$A$1:$AE$998</definedName>
    <definedName hidden="1" localSheetId="2" name="_xlnm._FilterDatabase">'Incremental Assets W JP'!$A$1:$AE$1001</definedName>
    <definedName hidden="1" localSheetId="7" name="_xlnm._FilterDatabase">'Social Value'!$A$1:$Z$19</definedName>
  </definedNames>
  <calcPr/>
  <pivotCaches>
    <pivotCache cacheId="0" r:id="rId18"/>
    <pivotCache cacheId="1" r:id="rId19"/>
    <pivotCache cacheId="2" r:id="rId20"/>
  </pivotCaches>
</workbook>
</file>

<file path=xl/sharedStrings.xml><?xml version="1.0" encoding="utf-8"?>
<sst xmlns="http://schemas.openxmlformats.org/spreadsheetml/2006/main" count="1492" uniqueCount="384">
  <si>
    <t>Gender</t>
  </si>
  <si>
    <t>Sport</t>
  </si>
  <si>
    <t>NJIT Ranking</t>
  </si>
  <si>
    <t>Home or Away</t>
  </si>
  <si>
    <t>Conference/Non Conference</t>
  </si>
  <si>
    <t>Opponent</t>
  </si>
  <si>
    <t>Opponent Rank</t>
  </si>
  <si>
    <t>Conf</t>
  </si>
  <si>
    <t>Date</t>
  </si>
  <si>
    <t>Day</t>
  </si>
  <si>
    <t>Time</t>
  </si>
  <si>
    <t>Network</t>
  </si>
  <si>
    <t>Distribution</t>
  </si>
  <si>
    <t>Exp %</t>
  </si>
  <si>
    <t>Imp/Spec</t>
  </si>
  <si>
    <t>Total Game Length (sec)</t>
  </si>
  <si>
    <t>Screen Time %</t>
  </si>
  <si>
    <t>Raw Duration (sec)</t>
  </si>
  <si>
    <t>Visibility Weighting Factor (based on network)</t>
  </si>
  <si>
    <t>Adjusted Duration (sec)</t>
  </si>
  <si>
    <t>30 sec Equivalents</t>
  </si>
  <si>
    <t>30 sec Equivalents with Wearout Factor Adjustment</t>
  </si>
  <si>
    <t>Streaming/Broadcast CPM</t>
  </si>
  <si>
    <t>Onsite CPM</t>
  </si>
  <si>
    <t>Total Attendance</t>
  </si>
  <si>
    <t>Avg Viewers</t>
  </si>
  <si>
    <t>Onsite Impressions</t>
  </si>
  <si>
    <t>Onsite Value</t>
  </si>
  <si>
    <t>Streaming/Broadcast Impressions</t>
  </si>
  <si>
    <t>Streaming/Broadcast Value</t>
  </si>
  <si>
    <t>Total Value</t>
  </si>
  <si>
    <t>Total Impressions</t>
  </si>
  <si>
    <t>CPM</t>
  </si>
  <si>
    <t>Mens</t>
  </si>
  <si>
    <t>Basketball</t>
  </si>
  <si>
    <t>Home</t>
  </si>
  <si>
    <t>Non-Conference</t>
  </si>
  <si>
    <t>Penn</t>
  </si>
  <si>
    <t>Ivy</t>
  </si>
  <si>
    <t>11/4/2024</t>
  </si>
  <si>
    <t>Mon</t>
  </si>
  <si>
    <t>7:00 PM</t>
  </si>
  <si>
    <t>ESPN+</t>
  </si>
  <si>
    <t>Streaming</t>
  </si>
  <si>
    <t>Away</t>
  </si>
  <si>
    <t>Villanova</t>
  </si>
  <si>
    <t>8</t>
  </si>
  <si>
    <t>Big East</t>
  </si>
  <si>
    <t>11/8/2024</t>
  </si>
  <si>
    <t>Fri</t>
  </si>
  <si>
    <t>8:30 PM</t>
  </si>
  <si>
    <t>FS1</t>
  </si>
  <si>
    <t>National Linear</t>
  </si>
  <si>
    <t>Loyola (Md.)</t>
  </si>
  <si>
    <t>Patriot</t>
  </si>
  <si>
    <t>11/12/2024</t>
  </si>
  <si>
    <t>Tue</t>
  </si>
  <si>
    <t>Morgan State</t>
  </si>
  <si>
    <t>MEAC</t>
  </si>
  <si>
    <t>11/16/2024</t>
  </si>
  <si>
    <t>Sat</t>
  </si>
  <si>
    <t>11:00 AM</t>
  </si>
  <si>
    <t>George Washington</t>
  </si>
  <si>
    <t>A10</t>
  </si>
  <si>
    <t>11/18/2024</t>
  </si>
  <si>
    <t>Bucknell</t>
  </si>
  <si>
    <t>11/21/2024</t>
  </si>
  <si>
    <t>Thu</t>
  </si>
  <si>
    <t>Cleveland State</t>
  </si>
  <si>
    <t>Horizon</t>
  </si>
  <si>
    <t>11/26/2024</t>
  </si>
  <si>
    <t>6:00 PM</t>
  </si>
  <si>
    <t>Neutral</t>
  </si>
  <si>
    <t>Cleveland State Thanksgiving</t>
  </si>
  <si>
    <t>Morehead State</t>
  </si>
  <si>
    <t>OVC</t>
  </si>
  <si>
    <t>11/27/2024</t>
  </si>
  <si>
    <t>Wed</t>
  </si>
  <si>
    <t>4:00 PM</t>
  </si>
  <si>
    <t>UMass</t>
  </si>
  <si>
    <t>12/1/2024</t>
  </si>
  <si>
    <t>Sun</t>
  </si>
  <si>
    <t>12:00 PM</t>
  </si>
  <si>
    <t>Seton Hall</t>
  </si>
  <si>
    <t>12/4/2024</t>
  </si>
  <si>
    <t>Navy</t>
  </si>
  <si>
    <t>12/7/2024</t>
  </si>
  <si>
    <t>2:00 PM</t>
  </si>
  <si>
    <t>Delaware State</t>
  </si>
  <si>
    <t>12/11/2024</t>
  </si>
  <si>
    <t>Wagner</t>
  </si>
  <si>
    <t>NEC</t>
  </si>
  <si>
    <t>12/14/2024</t>
  </si>
  <si>
    <t>Washington</t>
  </si>
  <si>
    <t>Pac-12</t>
  </si>
  <si>
    <t>12/29/2024</t>
  </si>
  <si>
    <t>3:00 PM</t>
  </si>
  <si>
    <t>Pac-12 Network</t>
  </si>
  <si>
    <t>Medgar Evers</t>
  </si>
  <si>
    <t>1/4/2025</t>
  </si>
  <si>
    <t>America East</t>
  </si>
  <si>
    <t>UMBC</t>
  </si>
  <si>
    <t>1/9/2025</t>
  </si>
  <si>
    <t>UMass Lowell</t>
  </si>
  <si>
    <t>1/11/2025</t>
  </si>
  <si>
    <t>1:00 PM</t>
  </si>
  <si>
    <t>Maine</t>
  </si>
  <si>
    <t>1/16/2025</t>
  </si>
  <si>
    <t>New Hampshire</t>
  </si>
  <si>
    <t>1/18/2025</t>
  </si>
  <si>
    <t>Vermont</t>
  </si>
  <si>
    <t>1/23/2025</t>
  </si>
  <si>
    <t>UAlbany</t>
  </si>
  <si>
    <t>1/25/2025</t>
  </si>
  <si>
    <t>1/30/2025</t>
  </si>
  <si>
    <t>Bryant</t>
  </si>
  <si>
    <t>2/1/2025</t>
  </si>
  <si>
    <t>2/6/2025</t>
  </si>
  <si>
    <t>2/8/2025</t>
  </si>
  <si>
    <t>2/13/2025</t>
  </si>
  <si>
    <t>Binghamton</t>
  </si>
  <si>
    <t>2/15/2025</t>
  </si>
  <si>
    <t>2/22/2025</t>
  </si>
  <si>
    <t>2/27/2025</t>
  </si>
  <si>
    <t>3/1/2025</t>
  </si>
  <si>
    <t>3/4/2025</t>
  </si>
  <si>
    <t>Womens</t>
  </si>
  <si>
    <t>Saint Francis U</t>
  </si>
  <si>
    <t>Hofstra</t>
  </si>
  <si>
    <t>CAA</t>
  </si>
  <si>
    <t>Rutgers</t>
  </si>
  <si>
    <t>Big Ten</t>
  </si>
  <si>
    <t>11/10/2024</t>
  </si>
  <si>
    <t>BTN</t>
  </si>
  <si>
    <t>Sacred Heart</t>
  </si>
  <si>
    <t>11/13/2024</t>
  </si>
  <si>
    <t>FGCU</t>
  </si>
  <si>
    <t>ASUN</t>
  </si>
  <si>
    <t>11/17/2024</t>
  </si>
  <si>
    <t>Army West Point</t>
  </si>
  <si>
    <t>11/20/2024</t>
  </si>
  <si>
    <t>Merrimack</t>
  </si>
  <si>
    <t>11/23/2024</t>
  </si>
  <si>
    <t>Lafayette</t>
  </si>
  <si>
    <t>Saint Peter's</t>
  </si>
  <si>
    <t>MAAC</t>
  </si>
  <si>
    <t>Coppin State</t>
  </si>
  <si>
    <t>12/3/2024</t>
  </si>
  <si>
    <t>Monmouth</t>
  </si>
  <si>
    <t>12/9/2024</t>
  </si>
  <si>
    <t>12/12/2024</t>
  </si>
  <si>
    <t>LIU</t>
  </si>
  <si>
    <t>12/30/2024</t>
  </si>
  <si>
    <t>1/2/2025</t>
  </si>
  <si>
    <t>6:30 PM</t>
  </si>
  <si>
    <t>4:30 PM</t>
  </si>
  <si>
    <t>America East Quarterfinals</t>
  </si>
  <si>
    <t>4</t>
  </si>
  <si>
    <t>3/6/2025</t>
  </si>
  <si>
    <t>asset
name</t>
  </si>
  <si>
    <t>Asset Category</t>
  </si>
  <si>
    <t>asset
type</t>
  </si>
  <si>
    <t>Channel</t>
  </si>
  <si>
    <t>gender</t>
  </si>
  <si>
    <t>category</t>
  </si>
  <si>
    <t>imp</t>
  </si>
  <si>
    <t>value</t>
  </si>
  <si>
    <t>ccv</t>
  </si>
  <si>
    <t>Annual spec/social followers/web traffic/social impressions</t>
  </si>
  <si>
    <t>exp</t>
  </si>
  <si>
    <t>imp/
spec</t>
  </si>
  <si>
    <t>imp/viewer</t>
  </si>
  <si>
    <t>avail per game/month</t>
  </si>
  <si>
    <t>Total Availability</t>
  </si>
  <si>
    <t>dur/
game (Sec)</t>
  </si>
  <si>
    <t>Duration Index (dii) (Sec)/frequency index</t>
  </si>
  <si>
    <t># games/
posts</t>
  </si>
  <si>
    <t>Notes</t>
  </si>
  <si>
    <t>Commercial Units (30 sec)</t>
  </si>
  <si>
    <t>Incremental Asset Package</t>
  </si>
  <si>
    <t>Men's</t>
  </si>
  <si>
    <t>Women's</t>
  </si>
  <si>
    <t>Sideline Banners (tv visible)</t>
  </si>
  <si>
    <t>Onsite</t>
  </si>
  <si>
    <t>Email Marketing Inclusion</t>
  </si>
  <si>
    <t>Digital Inventory</t>
  </si>
  <si>
    <t>Email</t>
  </si>
  <si>
    <t>Mens/Womens</t>
  </si>
  <si>
    <t>Athletic Dept</t>
  </si>
  <si>
    <t>Web Banner Advertising</t>
  </si>
  <si>
    <t>Website</t>
  </si>
  <si>
    <t>Sponsored Social Media Series
1 Per Week During School Year</t>
  </si>
  <si>
    <t>Social Media</t>
  </si>
  <si>
    <t>Instagram</t>
  </si>
  <si>
    <t>Facebook</t>
  </si>
  <si>
    <t>Twitter/X</t>
  </si>
  <si>
    <t xml:space="preserve"> </t>
  </si>
  <si>
    <t>Jersey Patch</t>
  </si>
  <si>
    <t>Broadcast</t>
  </si>
  <si>
    <t xml:space="preserve">Men's </t>
  </si>
  <si>
    <t>Jersey Patch (Social Media)</t>
  </si>
  <si>
    <t>Jersey Patch Social Media</t>
  </si>
  <si>
    <t>LED Rotational Signage (4 Min per Game/4 Rotations)</t>
  </si>
  <si>
    <t>FloCollege</t>
  </si>
  <si>
    <t>SUM of value</t>
  </si>
  <si>
    <t>SUM of imp</t>
  </si>
  <si>
    <t>Grand Total</t>
  </si>
  <si>
    <t>Value</t>
  </si>
  <si>
    <t>Imp</t>
  </si>
  <si>
    <t>15% IP Premium</t>
  </si>
  <si>
    <t>Sideline Banners 
(tv visible, all sports)</t>
  </si>
  <si>
    <t>Athletic Dept (Web, Digital, Social)</t>
  </si>
  <si>
    <t xml:space="preserve"> Total</t>
  </si>
  <si>
    <t>Incremental Asset Package Total</t>
  </si>
  <si>
    <t>Jersey Patch Total</t>
  </si>
  <si>
    <t>Jersey Patch Social Media Total</t>
  </si>
  <si>
    <t>Incremental Assets Total</t>
  </si>
  <si>
    <t>Jersey Patch Regular Season Total</t>
  </si>
  <si>
    <t>Jersey Social Media Total</t>
  </si>
  <si>
    <t>10% IP Premium</t>
  </si>
  <si>
    <t>Category</t>
  </si>
  <si>
    <t>Asset Name</t>
  </si>
  <si>
    <t>Account Type</t>
  </si>
  <si>
    <t>Estimated Reach % of Followers</t>
  </si>
  <si>
    <t>Marketplace CPM</t>
  </si>
  <si>
    <t>Total Follower Count</t>
  </si>
  <si>
    <t>Total Posts</t>
  </si>
  <si>
    <t>Impressions per Post</t>
  </si>
  <si>
    <t>Value per Post</t>
  </si>
  <si>
    <t>Final Score Post</t>
  </si>
  <si>
    <t>Team-Specific</t>
  </si>
  <si>
    <t>Game Day Post</t>
  </si>
  <si>
    <t xml:space="preserve">Top Plays </t>
  </si>
  <si>
    <t>Instagram Feed</t>
  </si>
  <si>
    <t>Twitter</t>
  </si>
  <si>
    <t>Women's Basketball</t>
  </si>
  <si>
    <t>Men's Basketball</t>
  </si>
  <si>
    <t>SUM of Total Value</t>
  </si>
  <si>
    <t>SUM of Total Impressions</t>
  </si>
  <si>
    <t>COUNTA of Home or Away</t>
  </si>
  <si>
    <t>Basketball Total</t>
  </si>
  <si>
    <t>Social Value</t>
  </si>
  <si>
    <t>Social Impressions</t>
  </si>
  <si>
    <t>Game Value</t>
  </si>
  <si>
    <t>Game Impressions</t>
  </si>
  <si>
    <t>Totals</t>
  </si>
  <si>
    <t>Game Length (sec)</t>
  </si>
  <si>
    <t>Onsite Exposure</t>
  </si>
  <si>
    <t>Imp/
Spec</t>
  </si>
  <si>
    <t>Streaming % of Broadcast</t>
  </si>
  <si>
    <t>Streaming Visibility (sec)</t>
  </si>
  <si>
    <t>Streaming Notes</t>
  </si>
  <si>
    <t>Onsite Notes</t>
  </si>
  <si>
    <t>constant torso framing on dribbles/free throws/coaching shots; high close-up density.</t>
  </si>
  <si>
    <t>Smaller venue + close proximity, lots of dead-ball, huddles, free throws.</t>
  </si>
  <si>
    <t>Football</t>
  </si>
  <si>
    <t>huge audiences, but lots of wide shots / helmets / pads / sideline cuts; patch readability is lower despite runtime.</t>
  </si>
  <si>
    <t>Distance is the limiter; patch “seen” often, but “readable” less. Videoboards help.</t>
  </si>
  <si>
    <t>Gymnastics</t>
  </si>
  <si>
    <t>lots of close-ups + slow-motion; if patch is on competition leotard (not warmups), visibility is strong.</t>
  </si>
  <si>
    <t>Close viewing, routines focus on athletes, slower pacing, lots of pauses.</t>
  </si>
  <si>
    <t>Baseball</t>
  </si>
  <si>
    <t>a lot of pitcher-batter wide framing + replay angles; patch shows in dugout/celebrations more than live pitch.</t>
  </si>
  <si>
    <t>Many fans watch from distance; best exposure during dugout moments, celebrations, close plays.</t>
  </si>
  <si>
    <t>Softball</t>
  </si>
  <si>
    <t>Typically closer sightlines than baseball; more readable on close plays + dugout.</t>
  </si>
  <si>
    <t>Volleyball</t>
  </si>
  <si>
    <t>plenty of mid-shots and huddles, but also wide rally cam; moderate readability.</t>
  </si>
  <si>
    <t>Decent proximity, frequent huddles/celebrations; rally cam is wide but venue is small.</t>
  </si>
  <si>
    <t>Soccer</t>
  </si>
  <si>
    <t>sustained wide-angle field camera; few torso close-ups.</t>
  </si>
  <si>
    <t>Wide field viewing dominates; fewer close-range moments; patch readability is the limiter.</t>
  </si>
  <si>
    <t>Lacrosse</t>
  </si>
  <si>
    <t>U.S TV Households/Total U.S Subscribers</t>
  </si>
  <si>
    <t>Visibility Weighting Factor</t>
  </si>
  <si>
    <t>Visibility Notes</t>
  </si>
  <si>
    <t>CPM Notes</t>
  </si>
  <si>
    <t>Estimated Viewer Average</t>
  </si>
  <si>
    <t>ACCN</t>
  </si>
  <si>
    <t>Full HD broadcast, shoulder programming limited; patch clarity moderate</t>
  </si>
  <si>
    <t>Conference network CPM below ESPN tier but above digital-only streams</t>
  </si>
  <si>
    <t>Astros.com</t>
  </si>
  <si>
    <t>Digital stream; variable production quality and camera tightness</t>
  </si>
  <si>
    <t>Team-owned stream; lower demand advertiser base</t>
  </si>
  <si>
    <t>CBS (regular season)</t>
  </si>
  <si>
    <t>Premium national exposure; high production quality and camera clarity</t>
  </si>
  <si>
    <t>Big 4 network sports CPM benchmark</t>
  </si>
  <si>
    <t>CBS (post season)</t>
  </si>
  <si>
    <t>Increased camera focus, higher stakes, more replay visibility</t>
  </si>
  <si>
    <t>Premium live event demand; scarcity-driven pricing</t>
  </si>
  <si>
    <t>CBSSN</t>
  </si>
  <si>
    <t>National but secondary channel; moderate production visibility</t>
  </si>
  <si>
    <t>Lower distribution vs CBS; mid-tier cable CPM</t>
  </si>
  <si>
    <t>ESPN</t>
  </si>
  <si>
    <t>Industry benchmark for sports broadcast clarity</t>
  </si>
  <si>
    <t>Premium cable sports CPM anchor</t>
  </si>
  <si>
    <t>HD streaming; tighter cameras but lower scale vs linear</t>
  </si>
  <si>
    <t>Streaming sports CPM discount vs linear</t>
  </si>
  <si>
    <t>ESPN2</t>
  </si>
  <si>
    <t>Strong national distribution but secondary tier</t>
  </si>
  <si>
    <t>Below ESPN flagship CPM</t>
  </si>
  <si>
    <t>ESPNU</t>
  </si>
  <si>
    <t>Collegiate-focused, lower audience concentration</t>
  </si>
  <si>
    <t>Niche cable sports CPM</t>
  </si>
  <si>
    <t>Subscription niche; variable production consistency</t>
  </si>
  <si>
    <t>Specialty sports streaming CPM</t>
  </si>
  <si>
    <t>FOX (regular season)</t>
  </si>
  <si>
    <t>Big 4 broadcast quality and exposure</t>
  </si>
  <si>
    <t>Comparable to CBS regular season</t>
  </si>
  <si>
    <t>FOX (post season)</t>
  </si>
  <si>
    <t>Enhanced viewership and replay density</t>
  </si>
  <si>
    <t>Premium postseason CPM</t>
  </si>
  <si>
    <t>Strong production quality; national cable reach</t>
  </si>
  <si>
    <t>Slightly below ESPN CPM</t>
  </si>
  <si>
    <t>Hornet Sports Network</t>
  </si>
  <si>
    <t>Local production; limited camera tightness</t>
  </si>
  <si>
    <t>Institutional digital inventory CPM</t>
  </si>
  <si>
    <t>Mountain West Network</t>
  </si>
  <si>
    <t>Conference stream; improved but not national tier</t>
  </si>
  <si>
    <t>Regional streaming CPM</t>
  </si>
  <si>
    <t>NEC Front Row</t>
  </si>
  <si>
    <t>Basic conference digital production</t>
  </si>
  <si>
    <t>Lower advertiser demand and reach</t>
  </si>
  <si>
    <t>Peacock</t>
  </si>
  <si>
    <t>Strong platform tech; sports tier varies by event</t>
  </si>
  <si>
    <t>Premium streaming CPM but below Big 4</t>
  </si>
  <si>
    <t>TBS</t>
  </si>
  <si>
    <t>High-quality national sports broadcast</t>
  </si>
  <si>
    <t>Cable premium, below Big 4</t>
  </si>
  <si>
    <t>TNT</t>
  </si>
  <si>
    <t>NBA-level production quality; strong replay integration</t>
  </si>
  <si>
    <t>Premium sports cable CPM</t>
  </si>
  <si>
    <t>TruTV</t>
  </si>
  <si>
    <t>NCAA spillover; lower advertiser demand</t>
  </si>
  <si>
    <t>Discounted cable CPM</t>
  </si>
  <si>
    <t>SNY</t>
  </si>
  <si>
    <t>Regional Sports Network (RSN)</t>
  </si>
  <si>
    <t>Big10+</t>
  </si>
  <si>
    <t>America East TV</t>
  </si>
  <si>
    <t>LacrosseTV</t>
  </si>
  <si>
    <t>Jasper Sports Network</t>
  </si>
  <si>
    <t>ACCN+</t>
  </si>
  <si>
    <t>FS2</t>
  </si>
  <si>
    <t>NBC Sports Philly</t>
  </si>
  <si>
    <t>MSG</t>
  </si>
  <si>
    <t>SEC Network</t>
  </si>
  <si>
    <t>SEC+</t>
  </si>
  <si>
    <t>Youtube</t>
  </si>
  <si>
    <t>WWAX(The Wax)</t>
  </si>
  <si>
    <t>Monumental Sports Network</t>
  </si>
  <si>
    <t>YES Network</t>
  </si>
  <si>
    <t>NESN</t>
  </si>
  <si>
    <t>Marquee Sports Network</t>
  </si>
  <si>
    <t>Scripps Sports</t>
  </si>
  <si>
    <t>ROOT Sports Network</t>
  </si>
  <si>
    <t>SportsNet Pittsburgh</t>
  </si>
  <si>
    <t>MASN</t>
  </si>
  <si>
    <t>Midco Sports Network</t>
  </si>
  <si>
    <t>Altitude Sports</t>
  </si>
  <si>
    <t>Spectrum SportsNet LA</t>
  </si>
  <si>
    <t>Spectrum OC16</t>
  </si>
  <si>
    <t>AT&amp;T SportsNet Rocky Mountain</t>
  </si>
  <si>
    <t>Nevada Sports Net</t>
  </si>
  <si>
    <t>BEK Sports</t>
  </si>
  <si>
    <t>Service Electric Network</t>
  </si>
  <si>
    <t>Arizona's Family Sports</t>
  </si>
  <si>
    <t>Peachtree Sports Network</t>
  </si>
  <si>
    <t>Rock Entertainment Sports Network</t>
  </si>
  <si>
    <t>Matrix Midwest</t>
  </si>
  <si>
    <t>Gray Sports Network</t>
  </si>
  <si>
    <t>National Linear Weight</t>
  </si>
  <si>
    <t>Men’s Basketball</t>
  </si>
  <si>
    <t>Constant torso framing, half-court sets, replay density</t>
  </si>
  <si>
    <t>Women’s Basketball</t>
  </si>
  <si>
    <t>Same camera structure as MBB</t>
  </si>
  <si>
    <t>Tight pre-snap, moderate replay, wider live angles</t>
  </si>
  <si>
    <t>Long wide-field shots, fewer tight torso frames</t>
  </si>
  <si>
    <t>Slightly tighter than baseball</t>
  </si>
  <si>
    <t>Close net camera, high torso visibility</t>
  </si>
  <si>
    <t>Very wide live framing; minimal torso zoom</t>
  </si>
  <si>
    <t>Big Ten Network linear cable</t>
  </si>
  <si>
    <t>Conference linear tier</t>
  </si>
  <si>
    <t>Pac-12 streaming; ESPN+ tier</t>
  </si>
  <si>
    <t>Streaming tier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</si>
</sst>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&quot;$&quot;#,##0.00"/>
    <numFmt numFmtId="166" formatCode="[$$]#,##0"/>
    <numFmt numFmtId="167" formatCode="[$$]#,##0.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>
      <b/>
      <color theme="1"/>
      <name val="Arial"/>
    </font>
    <font>
      <sz val="11.0"/>
      <color theme="1"/>
      <name val="Calibri"/>
    </font>
    <font>
      <sz val="11.0"/>
      <color theme="1"/>
      <name val="Arial"/>
    </font>
    <font>
      <color theme="1"/>
      <name val="Arial"/>
    </font>
    <font>
      <b/>
      <color rgb="FF000000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E599"/>
        <bgColor rgb="FFFFE599"/>
      </patternFill>
    </fill>
  </fills>
  <borders count="6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166" xfId="0" applyAlignment="1" applyFont="1" applyNumberFormat="1">
      <alignment shrinkToFit="0" wrapText="1"/>
    </xf>
    <xf borderId="0" fillId="0" fontId="1" numFmtId="3" xfId="0" applyAlignment="1" applyFont="1" applyNumberFormat="1">
      <alignment shrinkToFit="0" wrapText="1"/>
    </xf>
    <xf borderId="0" fillId="0" fontId="1" numFmtId="165" xfId="0" applyAlignment="1" applyFont="1" applyNumberFormat="1">
      <alignment shrinkToFit="0" wrapText="1"/>
    </xf>
    <xf borderId="0" fillId="0" fontId="1" numFmtId="0" xfId="0" applyFont="1"/>
    <xf borderId="0" fillId="0" fontId="1" numFmtId="166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165" xfId="0" applyFont="1" applyNumberFormat="1"/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2" numFmtId="3" xfId="0" applyAlignment="1" applyBorder="1" applyFont="1" applyNumberFormat="1">
      <alignment shrinkToFit="0" vertical="bottom" wrapText="1"/>
    </xf>
    <xf borderId="1" fillId="0" fontId="2" numFmtId="165" xfId="0" applyAlignment="1" applyBorder="1" applyFont="1" applyNumberFormat="1">
      <alignment shrinkToFit="0" vertical="bottom" wrapText="1"/>
    </xf>
    <xf borderId="1" fillId="0" fontId="2" numFmtId="9" xfId="0" applyAlignment="1" applyBorder="1" applyFont="1" applyNumberFormat="1">
      <alignment shrinkToFit="0" vertical="bottom" wrapText="1"/>
    </xf>
    <xf borderId="1" fillId="0" fontId="2" numFmtId="0" xfId="0" applyAlignment="1" applyBorder="1" applyFont="1">
      <alignment horizontal="right" shrinkToFit="0" vertical="bottom" wrapText="1"/>
    </xf>
    <xf borderId="1" fillId="0" fontId="2" numFmtId="165" xfId="0" applyAlignment="1" applyBorder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3" xfId="0" applyAlignment="1" applyFont="1" applyNumberFormat="1">
      <alignment horizontal="right" shrinkToFit="0" vertical="bottom" wrapText="1"/>
    </xf>
    <xf borderId="0" fillId="0" fontId="5" numFmtId="164" xfId="0" applyAlignment="1" applyFont="1" applyNumberFormat="1">
      <alignment horizontal="right"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0" fontId="4" numFmtId="3" xfId="0" applyAlignment="1" applyFont="1" applyNumberFormat="1">
      <alignment vertical="bottom"/>
    </xf>
    <xf borderId="0" fillId="0" fontId="4" numFmtId="9" xfId="0" applyAlignment="1" applyFont="1" applyNumberFormat="1">
      <alignment vertical="bottom"/>
    </xf>
    <xf borderId="0" fillId="0" fontId="5" numFmtId="0" xfId="0" applyAlignment="1" applyFont="1">
      <alignment horizontal="right" shrinkToFit="0" vertical="bottom" wrapText="1"/>
    </xf>
    <xf borderId="0" fillId="0" fontId="5" numFmtId="165" xfId="0" applyAlignment="1" applyFont="1" applyNumberFormat="1">
      <alignment horizontal="right" shrinkToFit="0" vertical="bottom" wrapText="1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5" xfId="0" applyAlignment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3" xfId="0" applyAlignment="1" applyFont="1" applyNumberFormat="1">
      <alignment horizontal="right" readingOrder="0" vertical="bottom"/>
    </xf>
    <xf borderId="0" fillId="0" fontId="5" numFmtId="9" xfId="0" applyAlignment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6" numFmtId="9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0" fontId="6" numFmtId="10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1" numFmtId="164" xfId="0" applyFont="1" applyNumberFormat="1"/>
    <xf borderId="0" fillId="0" fontId="1" numFmtId="164" xfId="0" applyFont="1" applyNumberFormat="1"/>
    <xf borderId="2" fillId="2" fontId="4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shrinkToFit="0" vertical="bottom" wrapText="1"/>
    </xf>
    <xf borderId="2" fillId="0" fontId="5" numFmtId="164" xfId="0" applyAlignment="1" applyBorder="1" applyFont="1" applyNumberFormat="1">
      <alignment horizontal="center" shrinkToFit="0" vertical="bottom" wrapText="1"/>
    </xf>
    <xf borderId="2" fillId="0" fontId="5" numFmtId="3" xfId="0" applyAlignment="1" applyBorder="1" applyFont="1" applyNumberFormat="1">
      <alignment horizontal="center" shrinkToFit="0" vertical="bottom" wrapText="1"/>
    </xf>
    <xf borderId="2" fillId="0" fontId="5" numFmtId="165" xfId="0" applyAlignment="1" applyBorder="1" applyFont="1" applyNumberFormat="1">
      <alignment horizontal="center" shrinkToFit="0" vertical="bottom" wrapText="1"/>
    </xf>
    <xf borderId="2" fillId="0" fontId="4" numFmtId="165" xfId="0" applyAlignment="1" applyBorder="1" applyFont="1" applyNumberFormat="1">
      <alignment vertical="bottom"/>
    </xf>
    <xf borderId="2" fillId="2" fontId="2" numFmtId="0" xfId="0" applyAlignment="1" applyBorder="1" applyFont="1">
      <alignment shrinkToFit="0" vertical="bottom" wrapText="1"/>
    </xf>
    <xf borderId="2" fillId="2" fontId="2" numFmtId="164" xfId="0" applyAlignment="1" applyBorder="1" applyFont="1" applyNumberFormat="1">
      <alignment horizontal="center" shrinkToFit="0" vertical="bottom" wrapText="1"/>
    </xf>
    <xf borderId="2" fillId="2" fontId="2" numFmtId="3" xfId="0" applyAlignment="1" applyBorder="1" applyFont="1" applyNumberFormat="1">
      <alignment horizontal="center" shrinkToFit="0" vertical="bottom" wrapText="1"/>
    </xf>
    <xf borderId="2" fillId="2" fontId="2" numFmtId="165" xfId="0" applyAlignment="1" applyBorder="1" applyFont="1" applyNumberFormat="1">
      <alignment horizontal="center" shrinkToFit="0" vertical="bottom" wrapText="1"/>
    </xf>
    <xf borderId="2" fillId="0" fontId="4" numFmtId="3" xfId="0" applyAlignment="1" applyBorder="1" applyFont="1" applyNumberFormat="1">
      <alignment vertical="bottom"/>
    </xf>
    <xf borderId="2" fillId="0" fontId="4" numFmtId="0" xfId="0" applyAlignment="1" applyBorder="1" applyFont="1">
      <alignment vertical="bottom"/>
    </xf>
    <xf borderId="2" fillId="2" fontId="2" numFmtId="164" xfId="0" applyAlignment="1" applyBorder="1" applyFont="1" applyNumberFormat="1">
      <alignment horizontal="center" shrinkToFit="0" vertical="bottom" wrapText="1"/>
    </xf>
    <xf borderId="2" fillId="3" fontId="5" numFmtId="3" xfId="0" applyAlignment="1" applyBorder="1" applyFill="1" applyFont="1" applyNumberFormat="1">
      <alignment horizontal="center" shrinkToFit="0" vertical="bottom" wrapText="1"/>
    </xf>
    <xf borderId="2" fillId="4" fontId="4" numFmtId="0" xfId="0" applyAlignment="1" applyBorder="1" applyFill="1" applyFont="1">
      <alignment vertical="bottom"/>
    </xf>
    <xf borderId="2" fillId="4" fontId="4" numFmtId="164" xfId="0" applyAlignment="1" applyBorder="1" applyFont="1" applyNumberFormat="1">
      <alignment vertical="bottom"/>
    </xf>
    <xf borderId="2" fillId="4" fontId="4" numFmtId="3" xfId="0" applyAlignment="1" applyBorder="1" applyFont="1" applyNumberFormat="1">
      <alignment vertical="bottom"/>
    </xf>
    <xf borderId="2" fillId="4" fontId="4" numFmtId="165" xfId="0" applyAlignment="1" applyBorder="1" applyFont="1" applyNumberFormat="1">
      <alignment vertical="bottom"/>
    </xf>
    <xf borderId="2" fillId="5" fontId="4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readingOrder="0" shrinkToFit="0" vertical="bottom" wrapText="1"/>
    </xf>
    <xf borderId="2" fillId="0" fontId="4" numFmtId="166" xfId="0" applyAlignment="1" applyBorder="1" applyFont="1" applyNumberFormat="1">
      <alignment horizontal="center" vertical="bottom"/>
    </xf>
    <xf borderId="2" fillId="0" fontId="4" numFmtId="3" xfId="0" applyAlignment="1" applyBorder="1" applyFont="1" applyNumberFormat="1">
      <alignment horizontal="center" vertical="bottom"/>
    </xf>
    <xf borderId="2" fillId="0" fontId="4" numFmtId="167" xfId="0" applyAlignment="1" applyBorder="1" applyFont="1" applyNumberFormat="1">
      <alignment horizontal="center" vertical="bottom"/>
    </xf>
    <xf borderId="2" fillId="6" fontId="4" numFmtId="0" xfId="0" applyAlignment="1" applyBorder="1" applyFill="1" applyFont="1">
      <alignment horizontal="center" vertical="bottom"/>
    </xf>
    <xf borderId="2" fillId="6" fontId="4" numFmtId="166" xfId="0" applyAlignment="1" applyBorder="1" applyFont="1" applyNumberFormat="1">
      <alignment horizontal="center" vertical="bottom"/>
    </xf>
    <xf borderId="2" fillId="6" fontId="4" numFmtId="167" xfId="0" applyAlignment="1" applyBorder="1" applyFont="1" applyNumberFormat="1">
      <alignment horizontal="center" vertical="bottom"/>
    </xf>
    <xf borderId="2" fillId="0" fontId="4" numFmtId="0" xfId="0" applyAlignment="1" applyBorder="1" applyFont="1">
      <alignment shrinkToFit="0" vertical="bottom" wrapText="1"/>
    </xf>
    <xf borderId="0" fillId="0" fontId="6" numFmtId="9" xfId="0" applyAlignment="1" applyFont="1" applyNumberFormat="1">
      <alignment horizontal="right" shrinkToFit="0" vertical="bottom" wrapText="1"/>
    </xf>
    <xf borderId="0" fillId="0" fontId="6" numFmtId="165" xfId="0" applyAlignment="1" applyFont="1" applyNumberFormat="1">
      <alignment horizontal="right" shrinkToFit="0" vertical="bottom" wrapText="1"/>
    </xf>
    <xf borderId="0" fillId="7" fontId="6" numFmtId="0" xfId="0" applyAlignment="1" applyFill="1" applyFont="1">
      <alignment horizontal="right" readingOrder="0" vertical="bottom"/>
    </xf>
    <xf borderId="0" fillId="7" fontId="6" numFmtId="0" xfId="0" applyAlignment="1" applyFont="1">
      <alignment horizontal="right" vertical="bottom"/>
    </xf>
    <xf borderId="0" fillId="8" fontId="6" numFmtId="3" xfId="0" applyAlignment="1" applyFill="1" applyFont="1" applyNumberFormat="1">
      <alignment horizontal="right" shrinkToFit="0" vertical="bottom" wrapText="1"/>
    </xf>
    <xf borderId="0" fillId="8" fontId="6" numFmtId="165" xfId="0" applyAlignment="1" applyFont="1" applyNumberFormat="1">
      <alignment horizontal="right" shrinkToFit="0" vertical="bottom" wrapText="1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vertical="bottom"/>
    </xf>
    <xf borderId="2" fillId="9" fontId="7" numFmtId="0" xfId="0" applyAlignment="1" applyBorder="1" applyFill="1" applyFont="1">
      <alignment horizontal="center" readingOrder="0"/>
    </xf>
    <xf borderId="3" fillId="9" fontId="7" numFmtId="0" xfId="0" applyAlignment="1" applyBorder="1" applyFont="1">
      <alignment horizontal="center" readingOrder="0"/>
    </xf>
    <xf borderId="4" fillId="10" fontId="8" numFmtId="0" xfId="0" applyAlignment="1" applyBorder="1" applyFill="1" applyFont="1">
      <alignment horizontal="center" readingOrder="0"/>
    </xf>
    <xf borderId="5" fillId="0" fontId="8" numFmtId="3" xfId="0" applyAlignment="1" applyBorder="1" applyFont="1" applyNumberFormat="1">
      <alignment horizontal="center" readingOrder="0"/>
    </xf>
    <xf borderId="5" fillId="10" fontId="8" numFmtId="3" xfId="0" applyAlignment="1" applyBorder="1" applyFont="1" applyNumberFormat="1">
      <alignment horizontal="center" readingOrder="0"/>
    </xf>
    <xf borderId="4" fillId="0" fontId="8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1" numFmtId="0" xfId="0" applyFont="1"/>
    <xf borderId="0" fillId="11" fontId="1" numFmtId="0" xfId="0" applyAlignment="1" applyFill="1" applyFont="1">
      <alignment readingOrder="0"/>
    </xf>
    <xf borderId="0" fillId="11" fontId="1" numFmtId="0" xfId="0" applyFont="1"/>
    <xf borderId="0" fillId="11" fontId="1" numFmtId="165" xfId="0" applyFont="1" applyNumberFormat="1"/>
    <xf borderId="0" fillId="11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2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1001" sheet="Incremental Assets W JP"/>
  </cacheSource>
  <cacheFields>
    <cacheField name="asset&#10;name" numFmtId="0">
      <sharedItems containsBlank="1">
        <s v="Commercial Units (30 sec)"/>
        <s v="Sideline Banners (tv visible)"/>
        <s v="Email Marketing Inclusion"/>
        <s v="Web Banner Advertising"/>
        <s v="Sponsored Social Media Series&#10;1 Per Week During School Year"/>
        <s v="Jersey Patch"/>
        <s v="Jersey Patch (Social Media)"/>
        <s v="LED Rotational Signage (4 Min per Game/4 Rotations)"/>
        <m/>
      </sharedItems>
    </cacheField>
    <cacheField name="Asset Category" numFmtId="0">
      <sharedItems containsBlank="1">
        <s v="Incremental Asset Package"/>
        <s v="Jersey Patch"/>
        <s v="Jersey Patch Social Media"/>
        <m/>
      </sharedItems>
    </cacheField>
    <cacheField name="asset&#10;type" numFmtId="0">
      <sharedItems containsBlank="1">
        <s v="Streaming"/>
        <s v="Onsite"/>
        <s v="Digital Inventory"/>
        <s v="Social Media"/>
        <s v="Broadcast"/>
        <m/>
      </sharedItems>
    </cacheField>
    <cacheField name="Channel" numFmtId="0">
      <sharedItems containsBlank="1">
        <s v="ESPN+"/>
        <s v="Onsite"/>
        <s v="Email"/>
        <s v="Website"/>
        <s v="Instagram"/>
        <s v="Facebook"/>
        <s v="Twitter/X"/>
        <s v="FS1"/>
        <s v="Pac-12 Network"/>
        <s v="BTN"/>
        <s v="FloCollege"/>
        <m/>
      </sharedItems>
    </cacheField>
    <cacheField name="gender" numFmtId="0">
      <sharedItems containsBlank="1">
        <s v="Men's"/>
        <s v="Women's"/>
        <s v="Mens/Womens"/>
        <s v="Men's "/>
        <m/>
      </sharedItems>
    </cacheField>
    <cacheField name="category" numFmtId="0">
      <sharedItems containsBlank="1">
        <s v="Basketball"/>
        <s v="Athletic Dept"/>
        <m/>
      </sharedItems>
    </cacheField>
    <cacheField name="imp" numFmtId="3">
      <sharedItems containsString="0" containsBlank="1" containsNumber="1">
        <n v="273000.0"/>
        <n v="196000.0"/>
        <n v="234000.0"/>
        <n v="6018.0"/>
        <n v="168000.0"/>
        <n v="3850.0"/>
        <n v="1320000.0"/>
        <n v="45000.0"/>
        <n v="123120.0"/>
        <n v="78880.00000000001"/>
        <n v="33200.0"/>
        <n v="339167.0"/>
        <n v="907500.0"/>
        <n v="209250.00000000003"/>
        <n v="224265.0"/>
        <n v="88050.0"/>
        <n v="84746.25"/>
        <n v="136710.0"/>
        <n v="78922.125"/>
        <n v="50119.0"/>
        <n v="90956.25"/>
        <n v="59951.25"/>
        <n v="360000.0"/>
        <n v="39000.0"/>
        <n v="100000.0"/>
        <n v="33700.799999999996"/>
        <n v="28000.0"/>
        <n v="21560.0"/>
        <n v="30000.0"/>
        <m/>
      </sharedItems>
    </cacheField>
    <cacheField name="value" numFmtId="164">
      <sharedItems containsString="0" containsBlank="1" containsNumber="1">
        <n v="4095.0"/>
        <n v="2940.0"/>
        <n v="1170.0"/>
        <n v="30.09"/>
        <n v="840.0"/>
        <n v="19.25"/>
        <n v="6600.0"/>
        <n v="360.0"/>
        <n v="2462.4"/>
        <n v="788.8000000000001"/>
        <n v="398.40000000000003"/>
        <n v="4601.0"/>
        <n v="23655.0"/>
        <n v="3532.5000000000005"/>
        <n v="3083.6100000000006"/>
        <n v="1609.5000000000002"/>
        <n v="847.4625"/>
        <n v="2734.2"/>
        <n v="947.0655"/>
        <n v="501.1875"/>
        <n v="1819.125"/>
        <n v="719.415"/>
        <n v="5400.0"/>
        <n v="585.0"/>
        <n v="1500.0"/>
        <n v="674.0159999999998"/>
        <n v="420.0"/>
        <n v="431.2"/>
        <n v="450.0"/>
        <m/>
      </sharedItems>
    </cacheField>
    <cacheField name="ccv" numFmtId="0">
      <sharedItems containsString="0" containsBlank="1" containsNumber="1" containsInteger="1">
        <n v="1500.0"/>
        <n v="1000.0"/>
        <m/>
        <n v="90000.0"/>
        <n v="50000.0"/>
        <n v="15000.0"/>
      </sharedItems>
    </cacheField>
    <cacheField name="Annual spec/social followers/web traffic/social impressions" numFmtId="0">
      <sharedItems containsString="0" containsBlank="1" containsNumber="1" containsInteger="1">
        <m/>
        <n v="6018.0"/>
        <n v="3850.0"/>
        <n v="55000.0"/>
        <n v="450000.0"/>
        <n v="8100.0"/>
        <n v="2900.0"/>
        <n v="16600.0"/>
      </sharedItems>
    </cacheField>
    <cacheField name="exp" numFmtId="0">
      <sharedItems containsString="0" containsBlank="1" containsNumber="1">
        <m/>
        <n v="0.5"/>
        <n v="0.08"/>
        <n v="0.1"/>
        <n v="0.38"/>
        <n v="0.68"/>
        <n v="0.05"/>
        <n v="0.7"/>
      </sharedItems>
    </cacheField>
    <cacheField name="imp/&#10;spec" numFmtId="0">
      <sharedItems containsString="0" containsBlank="1" containsNumber="1" containsInteger="1">
        <m/>
        <n v="2.0"/>
        <n v="8.0"/>
      </sharedItems>
    </cacheField>
    <cacheField name="imp/viewer" numFmtId="0">
      <sharedItems containsString="0" containsBlank="1" containsNumber="1" containsInteger="1">
        <n v="2.0"/>
        <m/>
      </sharedItems>
    </cacheField>
    <cacheField name="avail per game/month" numFmtId="0">
      <sharedItems containsString="0" containsBlank="1" containsNumber="1" containsInteger="1">
        <n v="7.0"/>
        <n v="1.0"/>
        <m/>
      </sharedItems>
    </cacheField>
    <cacheField name="Total Availability" numFmtId="0">
      <sharedItems containsString="0" containsBlank="1" containsNumber="1" containsInteger="1">
        <n v="91.0"/>
        <n v="98.0"/>
        <n v="13.0"/>
        <n v="14.0"/>
        <n v="300.0"/>
        <n v="1.0"/>
        <n v="40.0"/>
        <m/>
        <n v="2.0"/>
      </sharedItems>
    </cacheField>
    <cacheField name="dur/&#10;game (Sec)" numFmtId="0">
      <sharedItems containsString="0" containsBlank="1" containsNumber="1" containsInteger="1">
        <m/>
        <n v="360.0"/>
        <n v="60.0"/>
      </sharedItems>
    </cacheField>
    <cacheField name="Duration Index (dii) (Sec)/frequency index" numFmtId="0">
      <sharedItems containsString="0" containsBlank="1" containsNumber="1" containsInteger="1">
        <m/>
        <n v="30.0"/>
      </sharedItems>
    </cacheField>
    <cacheField name="# games/&#10;posts" numFmtId="0">
      <sharedItems containsString="0" containsBlank="1" containsNumber="1" containsInteger="1">
        <n v="13.0"/>
        <n v="14.0"/>
        <n v="300.0"/>
        <n v="1.0"/>
        <n v="40.0"/>
        <n v="28.0"/>
        <n v="2.0"/>
        <n v="29.0"/>
        <m/>
      </sharedItems>
    </cacheField>
    <cacheField name="CPM" numFmtId="165">
      <sharedItems containsString="0" containsBlank="1" containsNumber="1" containsInteger="1">
        <n v="15.0"/>
        <n v="5.0"/>
        <n v="8.0"/>
        <n v="20.0"/>
        <n v="10.0"/>
        <n v="12.0"/>
        <n v="18.0"/>
        <m/>
      </sharedItems>
    </cacheField>
    <cacheField name="Notes" numFmtId="0">
      <sharedItems containsString="0" containsBlank="1"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G62" sheet="NJIT Jersey Patch Valuation"/>
  </cacheSource>
  <cacheFields>
    <cacheField name="Gender" numFmtId="0">
      <sharedItems>
        <s v="Mens"/>
        <s v="Womens"/>
      </sharedItems>
    </cacheField>
    <cacheField name="Sport" numFmtId="0">
      <sharedItems>
        <s v="Basketball"/>
      </sharedItems>
    </cacheField>
    <cacheField name="NJIT Ranking" numFmtId="0">
      <sharedItems containsString="0" containsBlank="1">
        <m/>
      </sharedItems>
    </cacheField>
    <cacheField name="Home or Away" numFmtId="0">
      <sharedItems>
        <s v="Home"/>
        <s v="Away"/>
        <s v="Neutral"/>
      </sharedItems>
    </cacheField>
    <cacheField name="Conference/Non Conference" numFmtId="0">
      <sharedItems>
        <s v="Non-Conference"/>
        <s v="Cleveland State Thanksgiving"/>
        <s v="America East"/>
        <s v="America East Quarterfinals"/>
      </sharedItems>
    </cacheField>
    <cacheField name="Opponent" numFmtId="0">
      <sharedItems>
        <s v="Penn"/>
        <s v="Villanova"/>
        <s v="Loyola (Md.)"/>
        <s v="Morgan State"/>
        <s v="George Washington"/>
        <s v="Bucknell"/>
        <s v="Cleveland State"/>
        <s v="Morehead State"/>
        <s v="UMass"/>
        <s v="Seton Hall"/>
        <s v="Navy"/>
        <s v="Delaware State"/>
        <s v="Wagner"/>
        <s v="Washington"/>
        <s v="Medgar Evers"/>
        <s v="UMBC"/>
        <s v="UMass Lowell"/>
        <s v="Maine"/>
        <s v="New Hampshire"/>
        <s v="Vermont"/>
        <s v="UAlbany"/>
        <s v="Bryant"/>
        <s v="Binghamton"/>
        <s v="Saint Francis U"/>
        <s v="Hofstra"/>
        <s v="Rutgers"/>
        <s v="Sacred Heart"/>
        <s v="FGCU"/>
        <s v="Army West Point"/>
        <s v="Merrimack"/>
        <s v="Lafayette"/>
        <s v="Saint Peter's"/>
        <s v="Coppin State"/>
        <s v="Monmouth"/>
        <s v="LIU"/>
      </sharedItems>
    </cacheField>
    <cacheField name="Opponent Rank" numFmtId="0">
      <sharedItems containsBlank="1">
        <m/>
        <s v="8"/>
        <s v="4"/>
      </sharedItems>
    </cacheField>
    <cacheField name="Conf" numFmtId="0">
      <sharedItems containsBlank="1">
        <s v="Ivy"/>
        <s v="Big East"/>
        <s v="Patriot"/>
        <s v="MEAC"/>
        <s v="A10"/>
        <s v="Horizon"/>
        <s v="OVC"/>
        <s v="NEC"/>
        <s v="Pac-12"/>
        <m/>
        <s v="America East"/>
        <s v="CAA"/>
        <s v="Big Ten"/>
        <s v="ASUN"/>
        <s v="MAAC"/>
      </sharedItems>
    </cacheField>
    <cacheField name="Date" numFmtId="0">
      <sharedItems>
        <s v="11/4/2024"/>
        <s v="11/8/2024"/>
        <s v="11/12/2024"/>
        <s v="11/16/2024"/>
        <s v="11/18/2024"/>
        <s v="11/21/2024"/>
        <s v="11/26/2024"/>
        <s v="11/27/2024"/>
        <s v="12/1/2024"/>
        <s v="12/4/2024"/>
        <s v="12/7/2024"/>
        <s v="12/11/2024"/>
        <s v="12/14/2024"/>
        <s v="12/29/2024"/>
        <s v="1/4/2025"/>
        <s v="1/9/2025"/>
        <s v="1/11/2025"/>
        <s v="1/16/2025"/>
        <s v="1/18/2025"/>
        <s v="1/23/2025"/>
        <s v="1/25/2025"/>
        <s v="1/30/2025"/>
        <s v="2/1/2025"/>
        <s v="2/6/2025"/>
        <s v="2/8/2025"/>
        <s v="2/13/2025"/>
        <s v="2/15/2025"/>
        <s v="2/22/2025"/>
        <s v="2/27/2025"/>
        <s v="3/1/2025"/>
        <s v="3/4/2025"/>
        <s v="11/10/2024"/>
        <s v="11/13/2024"/>
        <s v="11/17/2024"/>
        <s v="11/20/2024"/>
        <s v="11/23/2024"/>
        <s v="12/3/2024"/>
        <s v="12/9/2024"/>
        <s v="12/12/2024"/>
        <s v="12/30/2024"/>
        <s v="1/2/2025"/>
        <s v="3/6/2025"/>
      </sharedItems>
    </cacheField>
    <cacheField name="Day" numFmtId="0">
      <sharedItems>
        <s v="Mon"/>
        <s v="Fri"/>
        <s v="Tue"/>
        <s v="Sat"/>
        <s v="Thu"/>
        <s v="Wed"/>
        <s v="Sun"/>
      </sharedItems>
    </cacheField>
    <cacheField name="Time" numFmtId="0">
      <sharedItems>
        <s v="7:00 PM"/>
        <s v="8:30 PM"/>
        <s v="11:00 AM"/>
        <s v="6:00 PM"/>
        <s v="4:00 PM"/>
        <s v="12:00 PM"/>
        <s v="2:00 PM"/>
        <s v="3:00 PM"/>
        <s v="1:00 PM"/>
        <s v="6:30 PM"/>
        <s v="4:30 PM"/>
      </sharedItems>
    </cacheField>
    <cacheField name="Network" numFmtId="0">
      <sharedItems>
        <s v="ESPN+"/>
        <s v="FS1"/>
        <s v="Pac-12 Network"/>
        <s v="BTN"/>
      </sharedItems>
    </cacheField>
    <cacheField name="Distribution" numFmtId="0">
      <sharedItems>
        <s v="Streaming"/>
        <s v="National Linear"/>
      </sharedItems>
    </cacheField>
    <cacheField name="Exp %" numFmtId="0">
      <sharedItems containsSemiMixedTypes="0" containsString="0" containsNumber="1">
        <n v="0.65"/>
      </sharedItems>
    </cacheField>
    <cacheField name="Imp/Spec" numFmtId="0">
      <sharedItems containsSemiMixedTypes="0" containsString="0" containsNumber="1" containsInteger="1">
        <n v="10.0"/>
      </sharedItems>
    </cacheField>
    <cacheField name="Total Game Length (sec)" numFmtId="0">
      <sharedItems containsSemiMixedTypes="0" containsString="0" containsNumber="1" containsInteger="1">
        <n v="7200.0"/>
      </sharedItems>
    </cacheField>
    <cacheField name="Screen Time %" numFmtId="0">
      <sharedItems containsSemiMixedTypes="0" containsString="0" containsNumber="1">
        <n v="0.06"/>
      </sharedItems>
    </cacheField>
    <cacheField name="Raw Duration (sec)" numFmtId="0">
      <sharedItems containsSemiMixedTypes="0" containsString="0" containsNumber="1" containsInteger="1">
        <n v="432.0"/>
      </sharedItems>
    </cacheField>
    <cacheField name="Visibility Weighting Factor (based on network)" numFmtId="0">
      <sharedItems containsSemiMixedTypes="0" containsString="0" containsNumber="1">
        <n v="0.4"/>
        <n v="0.5"/>
        <n v="0.45"/>
      </sharedItems>
    </cacheField>
    <cacheField name="Adjusted Duration (sec)" numFmtId="0">
      <sharedItems containsSemiMixedTypes="0" containsString="0" containsNumber="1">
        <n v="172.8"/>
        <n v="216.0"/>
        <n v="194.4"/>
      </sharedItems>
    </cacheField>
    <cacheField name="30 sec Equivalents" numFmtId="0">
      <sharedItems containsSemiMixedTypes="0" containsString="0" containsNumber="1">
        <n v="5.760000000000001"/>
        <n v="7.2"/>
        <n v="6.48"/>
      </sharedItems>
    </cacheField>
    <cacheField name="30 sec Equivalents with Wearout Factor Adjustment" numFmtId="0">
      <sharedItems containsSemiMixedTypes="0" containsString="0" containsNumber="1">
        <n v="3.6000000000000005"/>
        <n v="4.5"/>
        <n v="4.050000000000001"/>
      </sharedItems>
    </cacheField>
    <cacheField name="Streaming/Broadcast CPM" numFmtId="166">
      <sharedItems containsSemiMixedTypes="0" containsString="0" containsNumber="1" containsInteger="1">
        <n v="18.0"/>
        <n v="28.0"/>
        <n v="22.0"/>
      </sharedItems>
    </cacheField>
    <cacheField name="Onsite CPM" numFmtId="166">
      <sharedItems containsSemiMixedTypes="0" containsString="0" containsNumber="1" containsInteger="1">
        <n v="10.0"/>
      </sharedItems>
    </cacheField>
    <cacheField name="Total Attendance" numFmtId="3">
      <sharedItems containsSemiMixedTypes="0" containsString="0" containsNumber="1" containsInteger="1">
        <n v="590.0"/>
        <n v="6500.0"/>
        <n v="350.0"/>
        <n v="1200.0"/>
        <n v="1800.0"/>
        <n v="1100.0"/>
        <n v="1500.0"/>
        <n v="400.0"/>
        <n v="3200.0"/>
        <n v="8500.0"/>
        <n v="548.0"/>
        <n v="600.0"/>
        <n v="4500.0"/>
        <n v="200.0"/>
        <n v="450.0"/>
        <n v="550.0"/>
        <n v="500.0"/>
        <n v="2200.0"/>
        <n v="2100.0"/>
        <n v="480.0"/>
        <n v="520.0"/>
        <n v="1400.0"/>
        <n v="540.0"/>
        <n v="430.0"/>
        <n v="460.0"/>
        <n v="280.0"/>
        <n v="4200.0"/>
        <n v="220.0"/>
        <n v="250.0"/>
        <n v="240.0"/>
        <n v="310.0"/>
        <n v="380.0"/>
        <n v="270.0"/>
        <n v="260.0"/>
        <n v="800.0"/>
        <n v="290.0"/>
        <n v="255.0"/>
        <n v="650.0"/>
        <n v="900.0"/>
        <n v="320.0"/>
        <n v="330.0"/>
        <n v="285.0"/>
        <n v="340.0"/>
      </sharedItems>
    </cacheField>
    <cacheField name="Avg Viewers" numFmtId="3">
      <sharedItems containsSemiMixedTypes="0" containsString="0" containsNumber="1" containsInteger="1">
        <n v="1500.0"/>
        <n v="105000.0"/>
        <n v="75000.0"/>
        <n v="50000.0"/>
        <n v="1000.0"/>
        <n v="15000.0"/>
        <n v="1200.0"/>
      </sharedItems>
    </cacheField>
    <cacheField name="Onsite Impressions" numFmtId="3">
      <sharedItems containsSemiMixedTypes="0" containsString="0" containsNumber="1">
        <n v="3835.0"/>
        <n v="42250.0"/>
        <n v="2275.0"/>
        <n v="7800.0"/>
        <n v="11700.0"/>
        <n v="7150.0"/>
        <n v="9750.0"/>
        <n v="2600.0"/>
        <n v="20800.0"/>
        <n v="55250.0"/>
        <n v="3562.0"/>
        <n v="3900.0"/>
        <n v="29250.0"/>
        <n v="1300.0"/>
        <n v="2925.0"/>
        <n v="3575.0"/>
        <n v="3250.0"/>
        <n v="14300.0"/>
        <n v="13650.0"/>
        <n v="3120.0"/>
        <n v="3380.0"/>
        <n v="9100.0"/>
        <n v="3510.0"/>
        <n v="2795.0"/>
        <n v="2990.0"/>
        <n v="1820.0"/>
        <n v="27300.0"/>
        <n v="1430.0"/>
        <n v="1625.0"/>
        <n v="1560.0"/>
        <n v="2015.0"/>
        <n v="2470.0"/>
        <n v="1755.0"/>
        <n v="1690.0"/>
        <n v="5200.0"/>
        <n v="1885.0"/>
        <n v="1657.5"/>
        <n v="4225.0"/>
        <n v="5850.0"/>
        <n v="2080.0"/>
        <n v="2145.0"/>
        <n v="1852.5"/>
        <n v="2210.0"/>
      </sharedItems>
    </cacheField>
    <cacheField name="Onsite Value" numFmtId="165">
      <sharedItems containsSemiMixedTypes="0" containsString="0" containsNumber="1">
        <n v="38.35"/>
        <n v="422.5"/>
        <n v="22.75"/>
        <n v="78.0"/>
        <n v="117.0"/>
        <n v="71.5"/>
        <n v="97.5"/>
        <n v="26.0"/>
        <n v="208.0"/>
        <n v="552.5"/>
        <n v="35.62"/>
        <n v="39.0"/>
        <n v="292.5"/>
        <n v="13.0"/>
        <n v="29.25"/>
        <n v="35.75"/>
        <n v="32.5"/>
        <n v="143.0"/>
        <n v="136.5"/>
        <n v="31.200000000000003"/>
        <n v="33.8"/>
        <n v="91.0"/>
        <n v="35.099999999999994"/>
        <n v="27.95"/>
        <n v="29.900000000000002"/>
        <n v="18.2"/>
        <n v="273.0"/>
        <n v="14.299999999999999"/>
        <n v="16.25"/>
        <n v="15.600000000000001"/>
        <n v="20.150000000000002"/>
        <n v="24.700000000000003"/>
        <n v="17.549999999999997"/>
        <n v="16.9"/>
        <n v="52.0"/>
        <n v="18.85"/>
        <n v="16.575"/>
        <n v="42.25"/>
        <n v="58.5"/>
        <n v="20.8"/>
        <n v="21.45"/>
        <n v="18.525"/>
        <n v="22.1"/>
      </sharedItems>
    </cacheField>
    <cacheField name="Streaming/Broadcast Impressions" numFmtId="0">
      <sharedItems containsSemiMixedTypes="0" containsString="0" containsNumber="1">
        <n v="5400.000000000001"/>
        <n v="472500.0"/>
        <n v="337500.0"/>
        <n v="180000.00000000003"/>
        <n v="3600.0000000000005"/>
        <n v="60750.00000000001"/>
        <n v="4320.000000000001"/>
      </sharedItems>
    </cacheField>
    <cacheField name="Streaming/Broadcast Value" numFmtId="165">
      <sharedItems containsSemiMixedTypes="0" containsString="0" containsNumber="1">
        <n v="97.20000000000002"/>
        <n v="13230.0"/>
        <n v="9450.0"/>
        <n v="3240.0000000000005"/>
        <n v="64.80000000000001"/>
        <n v="1336.5000000000002"/>
        <n v="77.76000000000002"/>
      </sharedItems>
    </cacheField>
    <cacheField name="Total Value" numFmtId="165">
      <sharedItems containsSemiMixedTypes="0" containsString="0" containsNumber="1">
        <n v="135.55"/>
        <n v="13652.5"/>
        <n v="119.95000000000002"/>
        <n v="175.20000000000002"/>
        <n v="214.20000000000002"/>
        <n v="168.70000000000002"/>
        <n v="194.70000000000002"/>
        <n v="123.20000000000002"/>
        <n v="305.20000000000005"/>
        <n v="10002.5"/>
        <n v="132.82000000000002"/>
        <n v="136.20000000000002"/>
        <n v="3532.5000000000005"/>
        <n v="110.20000000000002"/>
        <n v="126.45000000000002"/>
        <n v="132.95000000000002"/>
        <n v="129.70000000000002"/>
        <n v="240.20000000000002"/>
        <n v="233.70000000000002"/>
        <n v="128.40000000000003"/>
        <n v="131.0"/>
        <n v="188.20000000000002"/>
        <n v="132.3"/>
        <n v="125.15000000000002"/>
        <n v="127.10000000000002"/>
        <n v="94.05000000000001"/>
        <n v="83.00000000000001"/>
        <n v="1609.5000000000002"/>
        <n v="79.10000000000001"/>
        <n v="201.3"/>
        <n v="81.05000000000001"/>
        <n v="103.80000000000001"/>
        <n v="80.4"/>
        <n v="77.80000000000001"/>
        <n v="84.95000000000002"/>
        <n v="89.50000000000001"/>
        <n v="100.55000000000001"/>
        <n v="82.35000000000001"/>
        <n v="81.70000000000002"/>
        <n v="142.8"/>
        <n v="116.80000000000001"/>
        <n v="83.65"/>
        <n v="81.37500000000001"/>
        <n v="107.05000000000001"/>
        <n v="123.30000000000001"/>
        <n v="85.60000000000001"/>
        <n v="86.25000000000001"/>
        <n v="83.32500000000002"/>
        <n v="136.3"/>
        <n v="86.9"/>
        <n v="155.8"/>
        <n v="162.3"/>
        <n v="194.76000000000002"/>
      </sharedItems>
    </cacheField>
    <cacheField name="Total Impressions" numFmtId="3">
      <sharedItems containsSemiMixedTypes="0" containsString="0" containsNumber="1">
        <n v="9235.0"/>
        <n v="514750.0"/>
        <n v="7675.000000000001"/>
        <n v="13200.0"/>
        <n v="17100.0"/>
        <n v="12550.0"/>
        <n v="15150.0"/>
        <n v="8000.000000000001"/>
        <n v="26200.0"/>
        <n v="392750.0"/>
        <n v="8962.0"/>
        <n v="9300.0"/>
        <n v="209250.00000000003"/>
        <n v="6700.000000000001"/>
        <n v="8325.0"/>
        <n v="8975.0"/>
        <n v="8650.0"/>
        <n v="19700.0"/>
        <n v="19050.0"/>
        <n v="8520.0"/>
        <n v="8780.0"/>
        <n v="14500.0"/>
        <n v="8910.0"/>
        <n v="8195.0"/>
        <n v="8390.0"/>
        <n v="6525.0"/>
        <n v="5420.0"/>
        <n v="88050.0"/>
        <n v="5030.0"/>
        <n v="17250.0"/>
        <n v="5225.0"/>
        <n v="7500.0"/>
        <n v="5160.0"/>
        <n v="4900.0"/>
        <n v="5615.0"/>
        <n v="6070.0"/>
        <n v="7175.0"/>
        <n v="5355.0"/>
        <n v="5290.0"/>
        <n v="11400.0"/>
        <n v="8800.0"/>
        <n v="5485.0"/>
        <n v="5257.5"/>
        <n v="7825.0"/>
        <n v="9450.0"/>
        <n v="5680.0"/>
        <n v="5745.0"/>
        <n v="5452.5"/>
        <n v="10750.0"/>
        <n v="5810.0"/>
        <n v="12700.0"/>
        <n v="13350.0"/>
        <n v="16020.0"/>
      </sharedItems>
    </cacheField>
    <cacheField name="CPM" numFmtId="165">
      <sharedItems containsSemiMixedTypes="0" containsString="0" containsNumber="1">
        <n v="14.677855982674608"/>
        <n v="26.522583778533267"/>
        <n v="15.628664495114005"/>
        <n v="13.272727272727275"/>
        <n v="12.526315789473685"/>
        <n v="13.442231075697213"/>
        <n v="12.851485148514852"/>
        <n v="15.4"/>
        <n v="11.648854961832063"/>
        <n v="25.467854869509864"/>
        <n v="14.820352599866103"/>
        <n v="14.645161290322582"/>
        <n v="16.881720430107524"/>
        <n v="16.447761194029848"/>
        <n v="15.189189189189191"/>
        <n v="14.813370473537606"/>
        <n v="14.994219653179192"/>
        <n v="12.19289340101523"/>
        <n v="12.267716535433072"/>
        <n v="15.070422535211272"/>
        <n v="14.920273348519363"/>
        <n v="12.979310344827587"/>
        <n v="14.848484848484851"/>
        <n v="15.271507016473462"/>
        <n v="15.148986889153758"/>
        <n v="14.413793103448278"/>
        <n v="15.313653136531368"/>
        <n v="18.279386712095402"/>
        <n v="15.72564612326044"/>
        <n v="11.669565217391304"/>
        <n v="15.51196172248804"/>
        <n v="13.840000000000002"/>
        <n v="15.58139534883721"/>
        <n v="15.877551020408164"/>
        <n v="15.12911843276937"/>
        <n v="14.744645799011534"/>
        <n v="14.013937282229968"/>
        <n v="15.378151260504202"/>
        <n v="15.444234404536866"/>
        <n v="15.250683682771195"/>
        <n v="15.477888730385166"/>
        <n v="13.680511182108628"/>
        <n v="13.04761904761905"/>
        <n v="15.07042253521127"/>
        <n v="15.013054830287208"/>
        <n v="15.281980742778545"/>
        <n v="12.679069767441861"/>
        <n v="14.956970740103271"/>
        <n v="12.15730337078651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9" sheet="Social Value"/>
  </cacheSource>
  <cacheFields>
    <cacheField name="Gender" numFmtId="0">
      <sharedItems>
        <s v="Womens"/>
        <s v="Mens"/>
      </sharedItems>
    </cacheField>
    <cacheField name="Category" numFmtId="0">
      <sharedItems>
        <s v="Basketball"/>
      </sharedItems>
    </cacheField>
    <cacheField name="Asset Name" numFmtId="0">
      <sharedItems>
        <s v="Final Score Post"/>
        <s v="Game Day Post"/>
        <s v="Top Plays "/>
      </sharedItems>
    </cacheField>
    <cacheField name="Account Type" numFmtId="0">
      <sharedItems>
        <s v="Team-Specific"/>
      </sharedItems>
    </cacheField>
    <cacheField name="Channel" numFmtId="0">
      <sharedItems>
        <s v="Facebook"/>
        <s v="Instagram Feed"/>
        <s v="Twitter/X"/>
      </sharedItems>
    </cacheField>
    <cacheField name="Estimated Reach % of Followers" numFmtId="9">
      <sharedItems containsSemiMixedTypes="0" containsString="0" containsNumber="1">
        <n v="0.675"/>
        <n v="0.1875"/>
        <n v="0.375"/>
        <n v="0.0525"/>
      </sharedItems>
    </cacheField>
    <cacheField name="Marketplace CPM" numFmtId="165">
      <sharedItems containsSemiMixedTypes="0" containsString="0" containsNumber="1" containsInteger="1">
        <n v="10.0"/>
        <n v="20.0"/>
        <n v="12.0"/>
      </sharedItems>
    </cacheField>
    <cacheField name="Total Follower Count" numFmtId="0">
      <sharedItems containsSemiMixedTypes="0" containsString="0" containsNumber="1" containsInteger="1">
        <n v="1100.0"/>
        <n v="3300.0"/>
        <n v="7300.0"/>
        <n v="1800.0"/>
        <n v="4800.0"/>
        <n v="9300.0"/>
      </sharedItems>
    </cacheField>
    <cacheField name="Total Posts" numFmtId="0">
      <sharedItems containsSemiMixedTypes="0" containsString="0" containsNumber="1" containsInteger="1">
        <n v="30.0"/>
        <n v="31.0"/>
      </sharedItems>
    </cacheField>
    <cacheField name="Impressions per Post" numFmtId="3">
      <sharedItems containsSemiMixedTypes="0" containsString="0" containsNumber="1">
        <n v="816.7500000000001"/>
        <n v="668.25"/>
        <n v="185.625"/>
        <n v="1361.25"/>
        <n v="1113.75"/>
        <n v="556.875"/>
        <n v="421.57500000000005"/>
        <n v="344.925"/>
        <n v="1231.875"/>
        <n v="1336.5"/>
        <n v="1093.5"/>
        <n v="303.75"/>
        <n v="1980.0000000000002"/>
        <n v="1620.0"/>
        <n v="810.0"/>
        <n v="537.075"/>
        <n v="439.425"/>
        <n v="1569.375"/>
      </sharedItems>
    </cacheField>
    <cacheField name="Value per Post" numFmtId="165">
      <sharedItems containsSemiMixedTypes="0" containsString="0" containsNumber="1">
        <n v="8.1675"/>
        <n v="6.6825"/>
        <n v="1.85625"/>
        <n v="27.225"/>
        <n v="22.275"/>
        <n v="11.1375"/>
        <n v="5.0589"/>
        <n v="4.1391"/>
        <n v="14.782499999999999"/>
        <n v="13.365"/>
        <n v="10.935"/>
        <n v="3.0374999999999996"/>
        <n v="39.6"/>
        <n v="32.4"/>
        <n v="16.2"/>
        <n v="6.4449"/>
        <n v="5.2731"/>
        <n v="18.8325"/>
      </sharedItems>
    </cacheField>
    <cacheField name="Total Impressions" numFmtId="3">
      <sharedItems containsSemiMixedTypes="0" containsString="0" containsNumber="1">
        <n v="24502.500000000004"/>
        <n v="20047.5"/>
        <n v="5568.75"/>
        <n v="40837.5"/>
        <n v="33412.5"/>
        <n v="16706.25"/>
        <n v="12647.250000000002"/>
        <n v="10347.75"/>
        <n v="36956.25"/>
        <n v="41431.5"/>
        <n v="33898.5"/>
        <n v="9416.25"/>
        <n v="61380.00000000001"/>
        <n v="50220.0"/>
        <n v="25110.0"/>
        <n v="16649.325"/>
        <n v="13622.175000000001"/>
        <n v="48650.625"/>
      </sharedItems>
    </cacheField>
    <cacheField name="Total Value" numFmtId="165">
      <sharedItems containsSemiMixedTypes="0" containsString="0" containsNumber="1">
        <n v="245.02500000000003"/>
        <n v="200.475"/>
        <n v="55.6875"/>
        <n v="816.75"/>
        <n v="668.25"/>
        <n v="334.125"/>
        <n v="151.76700000000002"/>
        <n v="124.173"/>
        <n v="443.47499999999997"/>
        <n v="414.315"/>
        <n v="338.985"/>
        <n v="94.1625"/>
        <n v="1227.6000000000001"/>
        <n v="1004.4"/>
        <n v="502.2"/>
        <n v="199.7919"/>
        <n v="163.4661"/>
        <n v="583.807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ackage Breakdown by Asset" cacheId="0" dataCaption="" compact="0" compactData="0">
  <location ref="A1:C11" firstHeaderRow="0" firstDataRow="2" firstDataCol="0"/>
  <pivotFields>
    <pivotField name="asset&#10;name" axis="axisRow" compact="0" outline="0" multipleItemSelectionAllowed="1" showAll="0" sortType="ascending">
      <items>
        <item x="8"/>
        <item x="0"/>
        <item x="2"/>
        <item x="5"/>
        <item x="6"/>
        <item x="7"/>
        <item x="1"/>
        <item x="4"/>
        <item x="3"/>
        <item t="default"/>
      </items>
    </pivotField>
    <pivotField name="Asset Category" compact="0" outline="0" multipleItemSelectionAllowed="1" showAll="0">
      <items>
        <item x="0"/>
        <item x="1"/>
        <item x="2"/>
        <item x="3"/>
        <item t="default"/>
      </items>
    </pivotField>
    <pivotField name="asset&#10;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mp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cv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ual spec/social followers/web traffic/social 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x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mp/&#10;spec" compact="0" outline="0" multipleItemSelectionAllowed="1" showAll="0">
      <items>
        <item x="0"/>
        <item x="1"/>
        <item x="2"/>
        <item t="default"/>
      </items>
    </pivotField>
    <pivotField name="imp/viewer" compact="0" outline="0" multipleItemSelectionAllowed="1" showAll="0">
      <items>
        <item x="0"/>
        <item x="1"/>
        <item t="default"/>
      </items>
    </pivotField>
    <pivotField name="avail per game/month" compact="0" outline="0" multipleItemSelectionAllowed="1" showAll="0">
      <items>
        <item x="0"/>
        <item x="1"/>
        <item x="2"/>
        <item t="default"/>
      </items>
    </pivotField>
    <pivotField name="Total Avail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ur/&#10;game (Sec)" compact="0" outline="0" multipleItemSelectionAllowed="1" showAll="0">
      <items>
        <item x="0"/>
        <item x="1"/>
        <item x="2"/>
        <item t="default"/>
      </items>
    </pivotField>
    <pivotField name="Duration Index (dii) (Sec)/frequency index" compact="0" outline="0" multipleItemSelectionAllowed="1" showAll="0">
      <items>
        <item x="0"/>
        <item x="1"/>
        <item t="default"/>
      </items>
    </pivotField>
    <pivotField name="# games/&#10;p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te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value" fld="7" baseField="0"/>
    <dataField name="SUM of imp" fld="6" baseField="0"/>
  </dataFields>
</pivotTableDefinition>
</file>

<file path=xl/pivotTables/pivotTable2.xml><?xml version="1.0" encoding="utf-8"?>
<pivotTableDefinition xmlns="http://schemas.openxmlformats.org/spreadsheetml/2006/main" name="Package Breakdown by Sport" cacheId="0" dataCaption="" compact="0" compactData="0">
  <location ref="A1:C5" firstHeaderRow="0" firstDataRow="2" firstDataCol="0"/>
  <pivotFields>
    <pivotField name="asset&#10;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sset Category" compact="0" outline="0" multipleItemSelectionAllowed="1" showAll="0">
      <items>
        <item x="0"/>
        <item x="1"/>
        <item x="2"/>
        <item x="3"/>
        <item t="default"/>
      </items>
    </pivotField>
    <pivotField name="asset&#10;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axis="axisRow" compact="0" outline="0" multipleItemSelectionAllowed="1" showAll="0" sortType="ascending">
      <items>
        <item x="2"/>
        <item x="1"/>
        <item x="0"/>
        <item t="default"/>
      </items>
    </pivotField>
    <pivotField name="imp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cv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ual spec/social followers/web traffic/social 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x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mp/&#10;spec" compact="0" outline="0" multipleItemSelectionAllowed="1" showAll="0">
      <items>
        <item x="0"/>
        <item x="1"/>
        <item x="2"/>
        <item t="default"/>
      </items>
    </pivotField>
    <pivotField name="imp/viewer" compact="0" outline="0" multipleItemSelectionAllowed="1" showAll="0">
      <items>
        <item x="0"/>
        <item x="1"/>
        <item t="default"/>
      </items>
    </pivotField>
    <pivotField name="avail per game/month" compact="0" outline="0" multipleItemSelectionAllowed="1" showAll="0">
      <items>
        <item x="0"/>
        <item x="1"/>
        <item x="2"/>
        <item t="default"/>
      </items>
    </pivotField>
    <pivotField name="Total Avail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ur/&#10;game (Sec)" compact="0" outline="0" multipleItemSelectionAllowed="1" showAll="0">
      <items>
        <item x="0"/>
        <item x="1"/>
        <item x="2"/>
        <item t="default"/>
      </items>
    </pivotField>
    <pivotField name="Duration Index (dii) (Sec)/frequency index" compact="0" outline="0" multipleItemSelectionAllowed="1" showAll="0">
      <items>
        <item x="0"/>
        <item x="1"/>
        <item t="default"/>
      </items>
    </pivotField>
    <pivotField name="# games/&#10;p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te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5"/>
  </rowFields>
  <colFields>
    <field x="-2"/>
  </colFields>
  <dataFields>
    <dataField name="SUM of value" fld="7" baseField="0"/>
    <dataField name="SUM of imp" fld="6" baseField="0"/>
  </dataFields>
</pivotTableDefinition>
</file>

<file path=xl/pivotTables/pivotTable3.xml><?xml version="1.0" encoding="utf-8"?>
<pivotTableDefinition xmlns="http://schemas.openxmlformats.org/spreadsheetml/2006/main" name="Package Breakdown by Asset Cate" cacheId="0" dataCaption="" compact="0" compactData="0">
  <location ref="A1:D15" firstHeaderRow="0" firstDataRow="3" firstDataCol="0"/>
  <pivotFields>
    <pivotField name="asset&#10;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sset Category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asset&#10;type" axis="axisRow" compact="0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  <pivotField name="Chann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mp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cv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ual spec/social followers/web traffic/social 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x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mp/&#10;spec" compact="0" outline="0" multipleItemSelectionAllowed="1" showAll="0">
      <items>
        <item x="0"/>
        <item x="1"/>
        <item x="2"/>
        <item t="default"/>
      </items>
    </pivotField>
    <pivotField name="imp/viewer" compact="0" outline="0" multipleItemSelectionAllowed="1" showAll="0">
      <items>
        <item x="0"/>
        <item x="1"/>
        <item t="default"/>
      </items>
    </pivotField>
    <pivotField name="avail per game/month" compact="0" outline="0" multipleItemSelectionAllowed="1" showAll="0">
      <items>
        <item x="0"/>
        <item x="1"/>
        <item x="2"/>
        <item t="default"/>
      </items>
    </pivotField>
    <pivotField name="Total Avail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ur/&#10;game (Sec)" compact="0" outline="0" multipleItemSelectionAllowed="1" showAll="0">
      <items>
        <item x="0"/>
        <item x="1"/>
        <item x="2"/>
        <item t="default"/>
      </items>
    </pivotField>
    <pivotField name="Duration Index (dii) (Sec)/frequency index" compact="0" outline="0" multipleItemSelectionAllowed="1" showAll="0">
      <items>
        <item x="0"/>
        <item x="1"/>
        <item t="default"/>
      </items>
    </pivotField>
    <pivotField name="# games/&#10;p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te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1"/>
    <field x="2"/>
  </rowFields>
  <colFields>
    <field x="-2"/>
  </colFields>
  <dataFields>
    <dataField name="SUM of value" fld="7" baseField="0"/>
    <dataField name="SUM of imp" fld="6" baseField="0"/>
  </dataFields>
</pivotTableDefinition>
</file>

<file path=xl/pivotTables/pivotTable4.xml><?xml version="1.0" encoding="utf-8"?>
<pivotTableDefinition xmlns="http://schemas.openxmlformats.org/spreadsheetml/2006/main" name="Package Breakdown by Channel" cacheId="0" dataCaption="" compact="0" compactData="0">
  <location ref="A1:C14" firstHeaderRow="0" firstDataRow="2" firstDataCol="0"/>
  <pivotFields>
    <pivotField name="asset&#10;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sset Category" compact="0" outline="0" multipleItemSelectionAllowed="1" showAll="0">
      <items>
        <item x="0"/>
        <item x="1"/>
        <item x="2"/>
        <item x="3"/>
        <item t="default"/>
      </items>
    </pivotField>
    <pivotField name="asset&#10;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nnel" axis="axisRow" compact="0" outline="0" multipleItemSelectionAllowed="1" showAll="0" sortType="ascending">
      <items>
        <item x="11"/>
        <item x="9"/>
        <item x="2"/>
        <item x="0"/>
        <item x="5"/>
        <item x="10"/>
        <item x="7"/>
        <item x="4"/>
        <item x="1"/>
        <item x="8"/>
        <item x="6"/>
        <item x="3"/>
        <item t="default"/>
      </items>
    </pivotField>
    <pivotField name="gende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imp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valu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ccv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nnual spec/social followers/web traffic/social 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x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imp/&#10;spec" compact="0" outline="0" multipleItemSelectionAllowed="1" showAll="0">
      <items>
        <item x="0"/>
        <item x="1"/>
        <item x="2"/>
        <item t="default"/>
      </items>
    </pivotField>
    <pivotField name="imp/viewer" compact="0" outline="0" multipleItemSelectionAllowed="1" showAll="0">
      <items>
        <item x="0"/>
        <item x="1"/>
        <item t="default"/>
      </items>
    </pivotField>
    <pivotField name="avail per game/month" compact="0" outline="0" multipleItemSelectionAllowed="1" showAll="0">
      <items>
        <item x="0"/>
        <item x="1"/>
        <item x="2"/>
        <item t="default"/>
      </items>
    </pivotField>
    <pivotField name="Total Availabil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ur/&#10;game (Sec)" compact="0" outline="0" multipleItemSelectionAllowed="1" showAll="0">
      <items>
        <item x="0"/>
        <item x="1"/>
        <item x="2"/>
        <item t="default"/>
      </items>
    </pivotField>
    <pivotField name="Duration Index (dii) (Sec)/frequency index" compact="0" outline="0" multipleItemSelectionAllowed="1" showAll="0">
      <items>
        <item x="0"/>
        <item x="1"/>
        <item t="default"/>
      </items>
    </pivotField>
    <pivotField name="# games/&#10;post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Notes" compact="0" outline="0" multipleItemSelectionAllowed="1" showAll="0">
      <items>
        <item x="0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</pivotFields>
  <rowFields>
    <field x="3"/>
  </rowFields>
  <colFields>
    <field x="-2"/>
  </colFields>
  <dataFields>
    <dataField name="SUM of value" fld="7" baseField="0"/>
    <dataField name="SUM of imp" fld="6" baseField="0"/>
  </dataFields>
</pivotTableDefinition>
</file>

<file path=xl/pivotTables/pivotTable5.xml><?xml version="1.0" encoding="utf-8"?>
<pivotTableDefinition xmlns="http://schemas.openxmlformats.org/spreadsheetml/2006/main" name="Pivot Table 3" cacheId="1" dataCaption="" compact="0" compactData="0">
  <location ref="A1:C6" firstHeaderRow="0" firstDataRow="2" firstDataCol="0"/>
  <pivotFields>
    <pivotField name="Gender" compact="0" outline="0" multipleItemSelectionAllowed="1" showAll="0">
      <items>
        <item x="0"/>
        <item x="1"/>
        <item t="default"/>
      </items>
    </pivotField>
    <pivotField name="Sport" compact="0" outline="0" multipleItemSelectionAllowed="1" showAll="0">
      <items>
        <item x="0"/>
        <item t="default"/>
      </items>
    </pivotField>
    <pivotField name="NJIT Ranking" compact="0" outline="0" multipleItemSelectionAllowed="1" showAll="0">
      <items>
        <item x="0"/>
        <item t="default"/>
      </items>
    </pivotField>
    <pivotField name="Home or Away" compact="0" outline="0" multipleItemSelectionAllowed="1" showAll="0">
      <items>
        <item x="0"/>
        <item x="1"/>
        <item x="2"/>
        <item t="default"/>
      </items>
    </pivotField>
    <pivotField name="Conference/Non Conference" compact="0" outline="0" multipleItemSelectionAllowed="1" showAll="0">
      <items>
        <item x="0"/>
        <item x="1"/>
        <item x="2"/>
        <item x="3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pponent Rank" compact="0" outline="0" multipleItemSelectionAllowed="1" showAll="0">
      <items>
        <item x="0"/>
        <item x="1"/>
        <item x="2"/>
        <item t="default"/>
      </items>
    </pivotField>
    <pivotField name="Co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etwork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istribution" compact="0" outline="0" multipleItemSelectionAllowed="1" showAll="0">
      <items>
        <item x="0"/>
        <item x="1"/>
        <item t="default"/>
      </items>
    </pivotField>
    <pivotField name="Exp %" compact="0" outline="0" multipleItemSelectionAllowed="1" showAll="0">
      <items>
        <item x="0"/>
        <item t="default"/>
      </items>
    </pivotField>
    <pivotField name="Imp/Spec" compact="0" outline="0" multipleItemSelectionAllowed="1" showAll="0">
      <items>
        <item x="0"/>
        <item t="default"/>
      </items>
    </pivotField>
    <pivotField name="Total Game Length (sec)" compact="0" outline="0" multipleItemSelectionAllowed="1" showAll="0">
      <items>
        <item x="0"/>
        <item t="default"/>
      </items>
    </pivotField>
    <pivotField name="Screen Time %" compact="0" outline="0" multipleItemSelectionAllowed="1" showAll="0">
      <items>
        <item x="0"/>
        <item t="default"/>
      </items>
    </pivotField>
    <pivotField name="Raw Duration (sec)" compact="0" outline="0" multipleItemSelectionAllowed="1" showAll="0">
      <items>
        <item x="0"/>
        <item t="default"/>
      </items>
    </pivotField>
    <pivotField name="Visibility Weighting Factor (based on network)" compact="0" outline="0" multipleItemSelectionAllowed="1" showAll="0">
      <items>
        <item x="0"/>
        <item x="1"/>
        <item x="2"/>
        <item t="default"/>
      </items>
    </pivotField>
    <pivotField name="Adjusted Duration (sec)" compact="0" outline="0" multipleItemSelectionAllowed="1" showAll="0">
      <items>
        <item x="0"/>
        <item x="1"/>
        <item x="2"/>
        <item t="default"/>
      </items>
    </pivotField>
    <pivotField name="30 sec Equivalents" compact="0" outline="0" multipleItemSelectionAllowed="1" showAll="0">
      <items>
        <item x="0"/>
        <item x="1"/>
        <item x="2"/>
        <item t="default"/>
      </items>
    </pivotField>
    <pivotField name="30 sec Equivalents with Wearout Factor Adjustment" compact="0" outline="0" multipleItemSelectionAllowed="1" showAll="0">
      <items>
        <item x="0"/>
        <item x="1"/>
        <item x="2"/>
        <item t="default"/>
      </items>
    </pivotField>
    <pivotField name="Streaming/Broadcast CPM" compact="0" numFmtId="166" outline="0" multipleItemSelectionAllowed="1" showAll="0">
      <items>
        <item x="0"/>
        <item x="1"/>
        <item x="2"/>
        <item t="default"/>
      </items>
    </pivotField>
    <pivotField name="Onsite CPM" compact="0" numFmtId="166" outline="0" multipleItemSelectionAllowed="1" showAll="0">
      <items>
        <item x="0"/>
        <item t="default"/>
      </items>
    </pivotField>
    <pivotField name="Total Attend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Viewers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nsite 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Onsite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treaming/Broadcast Impressi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eaming/Broadcast Valu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Total 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11"/>
  </rowFields>
  <colFields>
    <field x="-2"/>
  </colFields>
  <dataFields>
    <dataField name="Total Value" fld="30" baseField="0"/>
    <dataField name="Total Impressions" fld="31" baseField="0"/>
  </dataFields>
</pivotTableDefinition>
</file>

<file path=xl/pivotTables/pivotTable6.xml><?xml version="1.0" encoding="utf-8"?>
<pivotTableDefinition xmlns="http://schemas.openxmlformats.org/spreadsheetml/2006/main" name="Game Pivot" cacheId="1" dataCaption="" compact="0" compactData="0">
  <location ref="A1:F9" firstHeaderRow="0" firstDataRow="4" firstDataCol="0"/>
  <pivotFields>
    <pivotField name="Gender" axis="axisRow" compact="0" outline="0" multipleItemSelectionAllowed="1" showAll="0" sortType="ascending" defaultSubtotal="0">
      <items>
        <item x="0"/>
        <item x="1"/>
      </items>
    </pivotField>
    <pivotField name="Sport" axis="axisRow" compact="0" outline="0" multipleItemSelectionAllowed="1" showAll="0" sortType="ascending">
      <items>
        <item x="0"/>
        <item t="default"/>
      </items>
    </pivotField>
    <pivotField name="NJIT Ranking" compact="0" outline="0" multipleItemSelectionAllowed="1" showAll="0">
      <items>
        <item x="0"/>
        <item t="default"/>
      </items>
    </pivotField>
    <pivotField name="Home or Away" dataField="1" compact="0" outline="0" multipleItemSelectionAllowed="1" showAll="0">
      <items>
        <item x="0"/>
        <item x="1"/>
        <item x="2"/>
        <item t="default"/>
      </items>
    </pivotField>
    <pivotField name="Conference/Non Conference" compact="0" outline="0" multipleItemSelectionAllowed="1" showAll="0">
      <items>
        <item x="0"/>
        <item x="1"/>
        <item x="2"/>
        <item x="3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Opponent Rank" compact="0" outline="0" multipleItemSelectionAllowed="1" showAll="0">
      <items>
        <item x="0"/>
        <item x="1"/>
        <item x="2"/>
        <item t="default"/>
      </items>
    </pivotField>
    <pivotField name="Con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etwork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istribution" compact="0" outline="0" multipleItemSelectionAllowed="1" showAll="0">
      <items>
        <item x="0"/>
        <item x="1"/>
        <item t="default"/>
      </items>
    </pivotField>
    <pivotField name="Exp %" compact="0" outline="0" multipleItemSelectionAllowed="1" showAll="0">
      <items>
        <item x="0"/>
        <item t="default"/>
      </items>
    </pivotField>
    <pivotField name="Imp/Spec" compact="0" outline="0" multipleItemSelectionAllowed="1" showAll="0">
      <items>
        <item x="0"/>
        <item t="default"/>
      </items>
    </pivotField>
    <pivotField name="Total Game Length (sec)" compact="0" outline="0" multipleItemSelectionAllowed="1" showAll="0">
      <items>
        <item x="0"/>
        <item t="default"/>
      </items>
    </pivotField>
    <pivotField name="Screen Time %" compact="0" outline="0" multipleItemSelectionAllowed="1" showAll="0">
      <items>
        <item x="0"/>
        <item t="default"/>
      </items>
    </pivotField>
    <pivotField name="Raw Duration (sec)" compact="0" outline="0" multipleItemSelectionAllowed="1" showAll="0">
      <items>
        <item x="0"/>
        <item t="default"/>
      </items>
    </pivotField>
    <pivotField name="Visibility Weighting Factor (based on network)" compact="0" outline="0" multipleItemSelectionAllowed="1" showAll="0">
      <items>
        <item x="0"/>
        <item x="1"/>
        <item x="2"/>
        <item t="default"/>
      </items>
    </pivotField>
    <pivotField name="Adjusted Duration (sec)" compact="0" outline="0" multipleItemSelectionAllowed="1" showAll="0">
      <items>
        <item x="0"/>
        <item x="1"/>
        <item x="2"/>
        <item t="default"/>
      </items>
    </pivotField>
    <pivotField name="30 sec Equivalents" compact="0" outline="0" multipleItemSelectionAllowed="1" showAll="0">
      <items>
        <item x="0"/>
        <item x="1"/>
        <item x="2"/>
        <item t="default"/>
      </items>
    </pivotField>
    <pivotField name="30 sec Equivalents with Wearout Factor Adjustment" compact="0" outline="0" multipleItemSelectionAllowed="1" showAll="0">
      <items>
        <item x="0"/>
        <item x="1"/>
        <item x="2"/>
        <item t="default"/>
      </items>
    </pivotField>
    <pivotField name="Streaming/Broadcast CPM" compact="0" numFmtId="166" outline="0" multipleItemSelectionAllowed="1" showAll="0">
      <items>
        <item x="0"/>
        <item x="1"/>
        <item x="2"/>
        <item t="default"/>
      </items>
    </pivotField>
    <pivotField name="Onsite CPM" compact="0" numFmtId="166" outline="0" multipleItemSelectionAllowed="1" showAll="0">
      <items>
        <item x="0"/>
        <item t="default"/>
      </items>
    </pivotField>
    <pivotField name="Total Attendanc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Viewers" compact="0" numFmtId="3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nsite Impress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Onsite Val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Streaming/Broadcast Impressi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treaming/Broadcast Value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otal Val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Total 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CPM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0"/>
    <field x="1"/>
    <field x="11"/>
  </rowFields>
  <colFields>
    <field x="-2"/>
  </colFields>
  <dataFields>
    <dataField name="SUM of Total Value" fld="30" baseField="0"/>
    <dataField name="SUM of Total Impressions" fld="31" baseField="0"/>
    <dataField name="COUNTA of Home or Away" fld="3" subtotal="count" baseField="0"/>
  </dataFields>
</pivotTableDefinition>
</file>

<file path=xl/pivotTables/pivotTable7.xml><?xml version="1.0" encoding="utf-8"?>
<pivotTableDefinition xmlns="http://schemas.openxmlformats.org/spreadsheetml/2006/main" name="Social Pivot" cacheId="2" dataCaption="" compact="0" compactData="0">
  <location ref="A1:E10" firstHeaderRow="0" firstDataRow="4" firstDataCol="0"/>
  <pivotFields>
    <pivotField name="Gender" axis="axisRow" compact="0" outline="0" multipleItemSelectionAllowed="1" showAll="0" sortType="ascending" defaultSubtotal="0">
      <items>
        <item x="1"/>
        <item x="0"/>
      </items>
    </pivotField>
    <pivotField name="Category" axis="axisRow" compact="0" outline="0" multipleItemSelectionAllowed="1" showAll="0" sortType="ascending">
      <items>
        <item x="0"/>
        <item t="default"/>
      </items>
    </pivotField>
    <pivotField name="Asset Name" compact="0" outline="0" multipleItemSelectionAllowed="1" showAll="0">
      <items>
        <item x="0"/>
        <item x="1"/>
        <item x="2"/>
        <item t="default"/>
      </items>
    </pivotField>
    <pivotField name="Account Type" compact="0" outline="0" multipleItemSelectionAllowed="1" showAll="0">
      <items>
        <item x="0"/>
        <item t="default"/>
      </items>
    </pivotField>
    <pivotField name="Channel" axis="axisRow" compact="0" outline="0" multipleItemSelectionAllowed="1" showAll="0" sortType="ascending">
      <items>
        <item x="0"/>
        <item x="1"/>
        <item x="2"/>
        <item t="default"/>
      </items>
    </pivotField>
    <pivotField name="Estimated Reach % of Followers" compact="0" numFmtId="9" outline="0" multipleItemSelectionAllowed="1" showAll="0">
      <items>
        <item x="0"/>
        <item x="1"/>
        <item x="2"/>
        <item x="3"/>
        <item t="default"/>
      </items>
    </pivotField>
    <pivotField name="Marketplace CPM" compact="0" numFmtId="165" outline="0" multipleItemSelectionAllowed="1" showAll="0">
      <items>
        <item x="0"/>
        <item x="1"/>
        <item x="2"/>
        <item t="default"/>
      </items>
    </pivotField>
    <pivotField name="Total Follower 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Posts" compact="0" outline="0" multipleItemSelectionAllowed="1" showAll="0">
      <items>
        <item x="0"/>
        <item x="1"/>
        <item t="default"/>
      </items>
    </pivotField>
    <pivotField name="Impressions per Post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Value per P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Impressions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 Val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0"/>
    <field x="1"/>
    <field x="4"/>
  </rowFields>
  <colFields>
    <field x="-2"/>
  </colFields>
  <dataFields>
    <dataField name="SUM of Total Impressions" fld="11" baseField="0"/>
    <dataField name="SUM of Total Valu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43"/>
    <col customWidth="1" min="2" max="2" width="11.0"/>
    <col customWidth="1" min="3" max="3" width="14.86"/>
    <col customWidth="1" min="4" max="4" width="10.57"/>
    <col customWidth="1" min="5" max="5" width="17.71"/>
    <col customWidth="1" min="6" max="6" width="16.29"/>
    <col customWidth="1" min="7" max="7" width="11.29"/>
    <col customWidth="1" min="8" max="8" width="13.14"/>
    <col customWidth="1" min="9" max="9" width="12.14"/>
    <col customWidth="1" min="10" max="11" width="8.71"/>
    <col customWidth="1" min="12" max="12" width="12.43"/>
    <col customWidth="1" min="13" max="13" width="15.71"/>
    <col customWidth="1" min="14" max="14" width="11.14"/>
    <col customWidth="1" min="15" max="15" width="8.71"/>
    <col customWidth="1" min="16" max="16" width="14.57"/>
    <col customWidth="1" min="17" max="17" width="14.86"/>
    <col customWidth="1" min="18" max="18" width="16.43"/>
    <col customWidth="1" min="19" max="19" width="19.29"/>
    <col customWidth="1" min="20" max="20" width="15.0"/>
    <col customWidth="1" min="21" max="21" width="13.86"/>
    <col customWidth="1" min="22" max="22" width="14.43"/>
    <col customWidth="1" min="23" max="24" width="14.86"/>
    <col customWidth="1" min="25" max="25" width="14.43"/>
    <col customWidth="1" min="26" max="26" width="12.29"/>
    <col customWidth="1" min="27" max="27" width="14.71"/>
    <col customWidth="1" min="28" max="28" width="12.14"/>
    <col customWidth="1" min="29" max="29" width="17.57"/>
    <col customWidth="1" min="30" max="30" width="11.71"/>
    <col customWidth="1" min="31" max="31" width="13.57"/>
    <col customWidth="1" min="32" max="32" width="14.71"/>
    <col customWidth="1" min="33" max="33" width="12.14"/>
  </cols>
  <sheetData>
    <row r="1" ht="6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1" t="s">
        <v>28</v>
      </c>
      <c r="AD1" s="4" t="s">
        <v>29</v>
      </c>
      <c r="AE1" s="1" t="s">
        <v>30</v>
      </c>
      <c r="AF1" s="3" t="s">
        <v>31</v>
      </c>
      <c r="AG1" s="1" t="s">
        <v>32</v>
      </c>
    </row>
    <row r="2">
      <c r="A2" s="5" t="s">
        <v>33</v>
      </c>
      <c r="B2" s="5" t="s">
        <v>34</v>
      </c>
      <c r="D2" s="5" t="s">
        <v>35</v>
      </c>
      <c r="E2" s="5" t="s">
        <v>36</v>
      </c>
      <c r="F2" s="5" t="s">
        <v>37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5">
        <f>KEY!$C$2</f>
        <v>0.65</v>
      </c>
      <c r="O2" s="5">
        <f>KEY!$D$2</f>
        <v>10</v>
      </c>
      <c r="P2" s="5">
        <f>KEY!$B$2</f>
        <v>7200</v>
      </c>
      <c r="Q2" s="5">
        <f>KEY!$E$2</f>
        <v>0.06</v>
      </c>
      <c r="R2" s="5">
        <f t="shared" ref="R2:R62" si="1">P2*Q2</f>
        <v>432</v>
      </c>
      <c r="S2" s="5">
        <f>IFERROR(VLOOKUP($L2,KEY!$A$13:$G$84,4,FALSE),0.4)</f>
        <v>0.4</v>
      </c>
      <c r="T2" s="5">
        <f t="shared" ref="T2:T62" si="2">R2*S2</f>
        <v>172.8</v>
      </c>
      <c r="U2" s="5">
        <f t="shared" ref="U2:U62" si="3">T2/30</f>
        <v>5.76</v>
      </c>
      <c r="V2" s="5">
        <f t="shared" ref="V2:V62" si="4">U2*0.625</f>
        <v>3.6</v>
      </c>
      <c r="W2" s="6">
        <f>IFERROR(VLOOKUP($L2,KEY!$A$13:$G$84,7,FALSE),18)</f>
        <v>18</v>
      </c>
      <c r="X2" s="6">
        <v>10.0</v>
      </c>
      <c r="Y2" s="7">
        <v>590.0</v>
      </c>
      <c r="Z2" s="8">
        <v>1500.0</v>
      </c>
      <c r="AA2" s="7">
        <f t="shared" ref="AA2:AA62" si="5">Y2*O2*N2</f>
        <v>3835</v>
      </c>
      <c r="AB2" s="9">
        <f t="shared" ref="AB2:AB62" si="6">(AA2/1000)*X2</f>
        <v>38.35</v>
      </c>
      <c r="AC2" s="5">
        <f t="shared" ref="AC2:AC62" si="7">Z2*V2</f>
        <v>5400</v>
      </c>
      <c r="AD2" s="9">
        <f t="shared" ref="AD2:AD62" si="8">(AC2/1000)*W2</f>
        <v>97.2</v>
      </c>
      <c r="AE2" s="9">
        <f t="shared" ref="AE2:AE62" si="9">SUM(AB2,AD2)</f>
        <v>135.55</v>
      </c>
      <c r="AF2" s="7">
        <f t="shared" ref="AF2:AF62" si="10">AC2+AA2</f>
        <v>9235</v>
      </c>
      <c r="AG2" s="9">
        <f t="shared" ref="AG2:AG62" si="11">IF(AF2=0,0,AE2/AF2*1000)</f>
        <v>14.67785598</v>
      </c>
    </row>
    <row r="3">
      <c r="A3" s="5" t="s">
        <v>33</v>
      </c>
      <c r="B3" s="5" t="s">
        <v>34</v>
      </c>
      <c r="D3" s="5" t="s">
        <v>44</v>
      </c>
      <c r="E3" s="5" t="s">
        <v>36</v>
      </c>
      <c r="F3" s="5" t="s">
        <v>45</v>
      </c>
      <c r="G3" s="5" t="s">
        <v>46</v>
      </c>
      <c r="H3" s="5" t="s">
        <v>47</v>
      </c>
      <c r="I3" s="5" t="s">
        <v>48</v>
      </c>
      <c r="J3" s="5" t="s">
        <v>49</v>
      </c>
      <c r="K3" s="5" t="s">
        <v>50</v>
      </c>
      <c r="L3" s="5" t="s">
        <v>51</v>
      </c>
      <c r="M3" s="5" t="s">
        <v>52</v>
      </c>
      <c r="N3" s="5">
        <f>KEY!$C$2</f>
        <v>0.65</v>
      </c>
      <c r="O3" s="5">
        <f>KEY!$D$2</f>
        <v>10</v>
      </c>
      <c r="P3" s="5">
        <f>KEY!$B$2</f>
        <v>7200</v>
      </c>
      <c r="Q3" s="5">
        <f>KEY!$E$2</f>
        <v>0.06</v>
      </c>
      <c r="R3" s="5">
        <f t="shared" si="1"/>
        <v>432</v>
      </c>
      <c r="S3" s="5">
        <f>IFERROR(VLOOKUP($L3,KEY!$A$13:$G$84,4,FALSE),0.4)</f>
        <v>0.5</v>
      </c>
      <c r="T3" s="5">
        <f t="shared" si="2"/>
        <v>216</v>
      </c>
      <c r="U3" s="5">
        <f t="shared" si="3"/>
        <v>7.2</v>
      </c>
      <c r="V3" s="5">
        <f t="shared" si="4"/>
        <v>4.5</v>
      </c>
      <c r="W3" s="6">
        <f>IFERROR(VLOOKUP($L3,KEY!$A$13:$G$84,7,FALSE),18)</f>
        <v>28</v>
      </c>
      <c r="X3" s="6">
        <v>10.0</v>
      </c>
      <c r="Y3" s="7">
        <v>6500.0</v>
      </c>
      <c r="Z3" s="8">
        <v>105000.0</v>
      </c>
      <c r="AA3" s="7">
        <f t="shared" si="5"/>
        <v>42250</v>
      </c>
      <c r="AB3" s="9">
        <f t="shared" si="6"/>
        <v>422.5</v>
      </c>
      <c r="AC3" s="5">
        <f t="shared" si="7"/>
        <v>472500</v>
      </c>
      <c r="AD3" s="9">
        <f t="shared" si="8"/>
        <v>13230</v>
      </c>
      <c r="AE3" s="9">
        <f t="shared" si="9"/>
        <v>13652.5</v>
      </c>
      <c r="AF3" s="7">
        <f t="shared" si="10"/>
        <v>514750</v>
      </c>
      <c r="AG3" s="9">
        <f t="shared" si="11"/>
        <v>26.52258378</v>
      </c>
    </row>
    <row r="4">
      <c r="A4" s="5" t="s">
        <v>33</v>
      </c>
      <c r="B4" s="5" t="s">
        <v>34</v>
      </c>
      <c r="D4" s="5" t="s">
        <v>35</v>
      </c>
      <c r="E4" s="5" t="s">
        <v>36</v>
      </c>
      <c r="F4" s="5" t="s">
        <v>53</v>
      </c>
      <c r="H4" s="5" t="s">
        <v>54</v>
      </c>
      <c r="I4" s="5" t="s">
        <v>55</v>
      </c>
      <c r="J4" s="5" t="s">
        <v>56</v>
      </c>
      <c r="K4" s="5" t="s">
        <v>41</v>
      </c>
      <c r="L4" s="5" t="s">
        <v>42</v>
      </c>
      <c r="M4" s="5" t="s">
        <v>43</v>
      </c>
      <c r="N4" s="5">
        <f>KEY!$C$2</f>
        <v>0.65</v>
      </c>
      <c r="O4" s="5">
        <f>KEY!$D$2</f>
        <v>10</v>
      </c>
      <c r="P4" s="5">
        <f>KEY!$B$2</f>
        <v>7200</v>
      </c>
      <c r="Q4" s="5">
        <f>KEY!$E$2</f>
        <v>0.06</v>
      </c>
      <c r="R4" s="5">
        <f t="shared" si="1"/>
        <v>432</v>
      </c>
      <c r="S4" s="5">
        <f>IFERROR(VLOOKUP($L4,KEY!$A$13:$G$84,4,FALSE),0.4)</f>
        <v>0.4</v>
      </c>
      <c r="T4" s="5">
        <f t="shared" si="2"/>
        <v>172.8</v>
      </c>
      <c r="U4" s="5">
        <f t="shared" si="3"/>
        <v>5.76</v>
      </c>
      <c r="V4" s="5">
        <f t="shared" si="4"/>
        <v>3.6</v>
      </c>
      <c r="W4" s="6">
        <f>IFERROR(VLOOKUP($L4,KEY!$A$13:$G$84,7,FALSE),18)</f>
        <v>18</v>
      </c>
      <c r="X4" s="6">
        <v>10.0</v>
      </c>
      <c r="Y4" s="7">
        <v>350.0</v>
      </c>
      <c r="Z4" s="8">
        <v>1500.0</v>
      </c>
      <c r="AA4" s="7">
        <f t="shared" si="5"/>
        <v>2275</v>
      </c>
      <c r="AB4" s="9">
        <f t="shared" si="6"/>
        <v>22.75</v>
      </c>
      <c r="AC4" s="5">
        <f t="shared" si="7"/>
        <v>5400</v>
      </c>
      <c r="AD4" s="9">
        <f t="shared" si="8"/>
        <v>97.2</v>
      </c>
      <c r="AE4" s="9">
        <f t="shared" si="9"/>
        <v>119.95</v>
      </c>
      <c r="AF4" s="7">
        <f t="shared" si="10"/>
        <v>7675</v>
      </c>
      <c r="AG4" s="9">
        <f t="shared" si="11"/>
        <v>15.6286645</v>
      </c>
    </row>
    <row r="5">
      <c r="A5" s="5" t="s">
        <v>33</v>
      </c>
      <c r="B5" s="5" t="s">
        <v>34</v>
      </c>
      <c r="D5" s="5" t="s">
        <v>44</v>
      </c>
      <c r="E5" s="5" t="s">
        <v>36</v>
      </c>
      <c r="F5" s="5" t="s">
        <v>57</v>
      </c>
      <c r="H5" s="5" t="s">
        <v>58</v>
      </c>
      <c r="I5" s="5" t="s">
        <v>59</v>
      </c>
      <c r="J5" s="5" t="s">
        <v>60</v>
      </c>
      <c r="K5" s="5" t="s">
        <v>61</v>
      </c>
      <c r="L5" s="5" t="s">
        <v>42</v>
      </c>
      <c r="M5" s="5" t="s">
        <v>43</v>
      </c>
      <c r="N5" s="5">
        <f>KEY!$C$2</f>
        <v>0.65</v>
      </c>
      <c r="O5" s="5">
        <f>KEY!$D$2</f>
        <v>10</v>
      </c>
      <c r="P5" s="5">
        <f>KEY!$B$2</f>
        <v>7200</v>
      </c>
      <c r="Q5" s="5">
        <f>KEY!$E$2</f>
        <v>0.06</v>
      </c>
      <c r="R5" s="5">
        <f t="shared" si="1"/>
        <v>432</v>
      </c>
      <c r="S5" s="5">
        <f>IFERROR(VLOOKUP($L5,KEY!$A$13:$G$84,4,FALSE),0.4)</f>
        <v>0.4</v>
      </c>
      <c r="T5" s="5">
        <f t="shared" si="2"/>
        <v>172.8</v>
      </c>
      <c r="U5" s="5">
        <f t="shared" si="3"/>
        <v>5.76</v>
      </c>
      <c r="V5" s="5">
        <f t="shared" si="4"/>
        <v>3.6</v>
      </c>
      <c r="W5" s="6">
        <f>IFERROR(VLOOKUP($L5,KEY!$A$13:$G$84,7,FALSE),18)</f>
        <v>18</v>
      </c>
      <c r="X5" s="6">
        <v>10.0</v>
      </c>
      <c r="Y5" s="7">
        <v>1200.0</v>
      </c>
      <c r="Z5" s="8">
        <v>1500.0</v>
      </c>
      <c r="AA5" s="7">
        <f t="shared" si="5"/>
        <v>7800</v>
      </c>
      <c r="AB5" s="9">
        <f t="shared" si="6"/>
        <v>78</v>
      </c>
      <c r="AC5" s="5">
        <f t="shared" si="7"/>
        <v>5400</v>
      </c>
      <c r="AD5" s="9">
        <f t="shared" si="8"/>
        <v>97.2</v>
      </c>
      <c r="AE5" s="9">
        <f t="shared" si="9"/>
        <v>175.2</v>
      </c>
      <c r="AF5" s="7">
        <f t="shared" si="10"/>
        <v>13200</v>
      </c>
      <c r="AG5" s="9">
        <f t="shared" si="11"/>
        <v>13.27272727</v>
      </c>
    </row>
    <row r="6">
      <c r="A6" s="5" t="s">
        <v>33</v>
      </c>
      <c r="B6" s="5" t="s">
        <v>34</v>
      </c>
      <c r="D6" s="5" t="s">
        <v>44</v>
      </c>
      <c r="E6" s="5" t="s">
        <v>36</v>
      </c>
      <c r="F6" s="5" t="s">
        <v>62</v>
      </c>
      <c r="H6" s="5" t="s">
        <v>63</v>
      </c>
      <c r="I6" s="5" t="s">
        <v>64</v>
      </c>
      <c r="J6" s="5" t="s">
        <v>40</v>
      </c>
      <c r="K6" s="5" t="s">
        <v>41</v>
      </c>
      <c r="L6" s="5" t="s">
        <v>42</v>
      </c>
      <c r="M6" s="5" t="s">
        <v>43</v>
      </c>
      <c r="N6" s="5">
        <f>KEY!$C$2</f>
        <v>0.65</v>
      </c>
      <c r="O6" s="5">
        <f>KEY!$D$2</f>
        <v>10</v>
      </c>
      <c r="P6" s="5">
        <f>KEY!$B$2</f>
        <v>7200</v>
      </c>
      <c r="Q6" s="5">
        <f>KEY!$E$2</f>
        <v>0.06</v>
      </c>
      <c r="R6" s="5">
        <f t="shared" si="1"/>
        <v>432</v>
      </c>
      <c r="S6" s="5">
        <f>IFERROR(VLOOKUP($L6,KEY!$A$13:$G$84,4,FALSE),0.4)</f>
        <v>0.4</v>
      </c>
      <c r="T6" s="5">
        <f t="shared" si="2"/>
        <v>172.8</v>
      </c>
      <c r="U6" s="5">
        <f t="shared" si="3"/>
        <v>5.76</v>
      </c>
      <c r="V6" s="5">
        <f t="shared" si="4"/>
        <v>3.6</v>
      </c>
      <c r="W6" s="6">
        <f>IFERROR(VLOOKUP($L6,KEY!$A$13:$G$84,7,FALSE),18)</f>
        <v>18</v>
      </c>
      <c r="X6" s="6">
        <v>10.0</v>
      </c>
      <c r="Y6" s="7">
        <v>1800.0</v>
      </c>
      <c r="Z6" s="8">
        <v>1500.0</v>
      </c>
      <c r="AA6" s="7">
        <f t="shared" si="5"/>
        <v>11700</v>
      </c>
      <c r="AB6" s="9">
        <f t="shared" si="6"/>
        <v>117</v>
      </c>
      <c r="AC6" s="5">
        <f t="shared" si="7"/>
        <v>5400</v>
      </c>
      <c r="AD6" s="9">
        <f t="shared" si="8"/>
        <v>97.2</v>
      </c>
      <c r="AE6" s="9">
        <f t="shared" si="9"/>
        <v>214.2</v>
      </c>
      <c r="AF6" s="7">
        <f t="shared" si="10"/>
        <v>17100</v>
      </c>
      <c r="AG6" s="9">
        <f t="shared" si="11"/>
        <v>12.52631579</v>
      </c>
    </row>
    <row r="7">
      <c r="A7" s="5" t="s">
        <v>33</v>
      </c>
      <c r="B7" s="5" t="s">
        <v>34</v>
      </c>
      <c r="D7" s="5" t="s">
        <v>44</v>
      </c>
      <c r="E7" s="5" t="s">
        <v>36</v>
      </c>
      <c r="F7" s="5" t="s">
        <v>65</v>
      </c>
      <c r="H7" s="5" t="s">
        <v>54</v>
      </c>
      <c r="I7" s="5" t="s">
        <v>66</v>
      </c>
      <c r="J7" s="5" t="s">
        <v>67</v>
      </c>
      <c r="K7" s="5" t="s">
        <v>41</v>
      </c>
      <c r="L7" s="5" t="s">
        <v>42</v>
      </c>
      <c r="M7" s="5" t="s">
        <v>43</v>
      </c>
      <c r="N7" s="5">
        <f>KEY!$C$2</f>
        <v>0.65</v>
      </c>
      <c r="O7" s="5">
        <f>KEY!$D$2</f>
        <v>10</v>
      </c>
      <c r="P7" s="5">
        <f>KEY!$B$2</f>
        <v>7200</v>
      </c>
      <c r="Q7" s="5">
        <f>KEY!$E$2</f>
        <v>0.06</v>
      </c>
      <c r="R7" s="5">
        <f t="shared" si="1"/>
        <v>432</v>
      </c>
      <c r="S7" s="5">
        <f>IFERROR(VLOOKUP($L7,KEY!$A$13:$G$84,4,FALSE),0.4)</f>
        <v>0.4</v>
      </c>
      <c r="T7" s="5">
        <f t="shared" si="2"/>
        <v>172.8</v>
      </c>
      <c r="U7" s="5">
        <f t="shared" si="3"/>
        <v>5.76</v>
      </c>
      <c r="V7" s="5">
        <f t="shared" si="4"/>
        <v>3.6</v>
      </c>
      <c r="W7" s="6">
        <f>IFERROR(VLOOKUP($L7,KEY!$A$13:$G$84,7,FALSE),18)</f>
        <v>18</v>
      </c>
      <c r="X7" s="6">
        <v>10.0</v>
      </c>
      <c r="Y7" s="7">
        <v>1100.0</v>
      </c>
      <c r="Z7" s="8">
        <v>1500.0</v>
      </c>
      <c r="AA7" s="7">
        <f t="shared" si="5"/>
        <v>7150</v>
      </c>
      <c r="AB7" s="9">
        <f t="shared" si="6"/>
        <v>71.5</v>
      </c>
      <c r="AC7" s="5">
        <f t="shared" si="7"/>
        <v>5400</v>
      </c>
      <c r="AD7" s="9">
        <f t="shared" si="8"/>
        <v>97.2</v>
      </c>
      <c r="AE7" s="9">
        <f t="shared" si="9"/>
        <v>168.7</v>
      </c>
      <c r="AF7" s="7">
        <f t="shared" si="10"/>
        <v>12550</v>
      </c>
      <c r="AG7" s="9">
        <f t="shared" si="11"/>
        <v>13.44223108</v>
      </c>
    </row>
    <row r="8">
      <c r="A8" s="5" t="s">
        <v>33</v>
      </c>
      <c r="B8" s="5" t="s">
        <v>34</v>
      </c>
      <c r="D8" s="5" t="s">
        <v>44</v>
      </c>
      <c r="E8" s="5" t="s">
        <v>36</v>
      </c>
      <c r="F8" s="5" t="s">
        <v>68</v>
      </c>
      <c r="H8" s="5" t="s">
        <v>69</v>
      </c>
      <c r="I8" s="5" t="s">
        <v>70</v>
      </c>
      <c r="J8" s="5" t="s">
        <v>56</v>
      </c>
      <c r="K8" s="5" t="s">
        <v>71</v>
      </c>
      <c r="L8" s="5" t="s">
        <v>42</v>
      </c>
      <c r="M8" s="5" t="s">
        <v>43</v>
      </c>
      <c r="N8" s="5">
        <f>KEY!$C$2</f>
        <v>0.65</v>
      </c>
      <c r="O8" s="5">
        <f>KEY!$D$2</f>
        <v>10</v>
      </c>
      <c r="P8" s="5">
        <f>KEY!$B$2</f>
        <v>7200</v>
      </c>
      <c r="Q8" s="5">
        <f>KEY!$E$2</f>
        <v>0.06</v>
      </c>
      <c r="R8" s="5">
        <f t="shared" si="1"/>
        <v>432</v>
      </c>
      <c r="S8" s="5">
        <f>IFERROR(VLOOKUP($L8,KEY!$A$13:$G$84,4,FALSE),0.4)</f>
        <v>0.4</v>
      </c>
      <c r="T8" s="5">
        <f t="shared" si="2"/>
        <v>172.8</v>
      </c>
      <c r="U8" s="5">
        <f t="shared" si="3"/>
        <v>5.76</v>
      </c>
      <c r="V8" s="5">
        <f t="shared" si="4"/>
        <v>3.6</v>
      </c>
      <c r="W8" s="6">
        <f>IFERROR(VLOOKUP($L8,KEY!$A$13:$G$84,7,FALSE),18)</f>
        <v>18</v>
      </c>
      <c r="X8" s="6">
        <v>10.0</v>
      </c>
      <c r="Y8" s="7">
        <v>1500.0</v>
      </c>
      <c r="Z8" s="8">
        <v>1500.0</v>
      </c>
      <c r="AA8" s="7">
        <f t="shared" si="5"/>
        <v>9750</v>
      </c>
      <c r="AB8" s="9">
        <f t="shared" si="6"/>
        <v>97.5</v>
      </c>
      <c r="AC8" s="5">
        <f t="shared" si="7"/>
        <v>5400</v>
      </c>
      <c r="AD8" s="9">
        <f t="shared" si="8"/>
        <v>97.2</v>
      </c>
      <c r="AE8" s="9">
        <f t="shared" si="9"/>
        <v>194.7</v>
      </c>
      <c r="AF8" s="7">
        <f t="shared" si="10"/>
        <v>15150</v>
      </c>
      <c r="AG8" s="9">
        <f t="shared" si="11"/>
        <v>12.85148515</v>
      </c>
    </row>
    <row r="9">
      <c r="A9" s="5" t="s">
        <v>33</v>
      </c>
      <c r="B9" s="5" t="s">
        <v>34</v>
      </c>
      <c r="D9" s="5" t="s">
        <v>72</v>
      </c>
      <c r="E9" s="5" t="s">
        <v>73</v>
      </c>
      <c r="F9" s="5" t="s">
        <v>74</v>
      </c>
      <c r="H9" s="5" t="s">
        <v>75</v>
      </c>
      <c r="I9" s="5" t="s">
        <v>76</v>
      </c>
      <c r="J9" s="5" t="s">
        <v>77</v>
      </c>
      <c r="K9" s="5" t="s">
        <v>78</v>
      </c>
      <c r="L9" s="5" t="s">
        <v>42</v>
      </c>
      <c r="M9" s="5" t="s">
        <v>43</v>
      </c>
      <c r="N9" s="5">
        <f>KEY!$C$2</f>
        <v>0.65</v>
      </c>
      <c r="O9" s="5">
        <f>KEY!$D$2</f>
        <v>10</v>
      </c>
      <c r="P9" s="5">
        <f>KEY!$B$2</f>
        <v>7200</v>
      </c>
      <c r="Q9" s="5">
        <f>KEY!$E$2</f>
        <v>0.06</v>
      </c>
      <c r="R9" s="5">
        <f t="shared" si="1"/>
        <v>432</v>
      </c>
      <c r="S9" s="5">
        <f>IFERROR(VLOOKUP($L9,KEY!$A$13:$G$84,4,FALSE),0.4)</f>
        <v>0.4</v>
      </c>
      <c r="T9" s="5">
        <f t="shared" si="2"/>
        <v>172.8</v>
      </c>
      <c r="U9" s="5">
        <f t="shared" si="3"/>
        <v>5.76</v>
      </c>
      <c r="V9" s="5">
        <f t="shared" si="4"/>
        <v>3.6</v>
      </c>
      <c r="W9" s="6">
        <f>IFERROR(VLOOKUP($L9,KEY!$A$13:$G$84,7,FALSE),18)</f>
        <v>18</v>
      </c>
      <c r="X9" s="6">
        <v>10.0</v>
      </c>
      <c r="Y9" s="7">
        <v>400.0</v>
      </c>
      <c r="Z9" s="8">
        <v>1500.0</v>
      </c>
      <c r="AA9" s="7">
        <f t="shared" si="5"/>
        <v>2600</v>
      </c>
      <c r="AB9" s="9">
        <f t="shared" si="6"/>
        <v>26</v>
      </c>
      <c r="AC9" s="5">
        <f t="shared" si="7"/>
        <v>5400</v>
      </c>
      <c r="AD9" s="9">
        <f t="shared" si="8"/>
        <v>97.2</v>
      </c>
      <c r="AE9" s="9">
        <f t="shared" si="9"/>
        <v>123.2</v>
      </c>
      <c r="AF9" s="7">
        <f t="shared" si="10"/>
        <v>8000</v>
      </c>
      <c r="AG9" s="9">
        <f t="shared" si="11"/>
        <v>15.4</v>
      </c>
    </row>
    <row r="10">
      <c r="A10" s="5" t="s">
        <v>33</v>
      </c>
      <c r="B10" s="5" t="s">
        <v>34</v>
      </c>
      <c r="D10" s="5" t="s">
        <v>44</v>
      </c>
      <c r="E10" s="5" t="s">
        <v>36</v>
      </c>
      <c r="F10" s="5" t="s">
        <v>79</v>
      </c>
      <c r="H10" s="5" t="s">
        <v>63</v>
      </c>
      <c r="I10" s="5" t="s">
        <v>80</v>
      </c>
      <c r="J10" s="5" t="s">
        <v>81</v>
      </c>
      <c r="K10" s="5" t="s">
        <v>82</v>
      </c>
      <c r="L10" s="5" t="s">
        <v>42</v>
      </c>
      <c r="M10" s="5" t="s">
        <v>43</v>
      </c>
      <c r="N10" s="5">
        <f>KEY!$C$2</f>
        <v>0.65</v>
      </c>
      <c r="O10" s="5">
        <f>KEY!$D$2</f>
        <v>10</v>
      </c>
      <c r="P10" s="5">
        <f>KEY!$B$2</f>
        <v>7200</v>
      </c>
      <c r="Q10" s="5">
        <f>KEY!$E$2</f>
        <v>0.06</v>
      </c>
      <c r="R10" s="5">
        <f t="shared" si="1"/>
        <v>432</v>
      </c>
      <c r="S10" s="5">
        <f>IFERROR(VLOOKUP($L10,KEY!$A$13:$G$84,4,FALSE),0.4)</f>
        <v>0.4</v>
      </c>
      <c r="T10" s="5">
        <f t="shared" si="2"/>
        <v>172.8</v>
      </c>
      <c r="U10" s="5">
        <f t="shared" si="3"/>
        <v>5.76</v>
      </c>
      <c r="V10" s="5">
        <f t="shared" si="4"/>
        <v>3.6</v>
      </c>
      <c r="W10" s="6">
        <f>IFERROR(VLOOKUP($L10,KEY!$A$13:$G$84,7,FALSE),18)</f>
        <v>18</v>
      </c>
      <c r="X10" s="6">
        <v>10.0</v>
      </c>
      <c r="Y10" s="7">
        <v>3200.0</v>
      </c>
      <c r="Z10" s="8">
        <v>1500.0</v>
      </c>
      <c r="AA10" s="7">
        <f t="shared" si="5"/>
        <v>20800</v>
      </c>
      <c r="AB10" s="9">
        <f t="shared" si="6"/>
        <v>208</v>
      </c>
      <c r="AC10" s="5">
        <f t="shared" si="7"/>
        <v>5400</v>
      </c>
      <c r="AD10" s="9">
        <f t="shared" si="8"/>
        <v>97.2</v>
      </c>
      <c r="AE10" s="9">
        <f t="shared" si="9"/>
        <v>305.2</v>
      </c>
      <c r="AF10" s="7">
        <f t="shared" si="10"/>
        <v>26200</v>
      </c>
      <c r="AG10" s="9">
        <f t="shared" si="11"/>
        <v>11.64885496</v>
      </c>
    </row>
    <row r="11">
      <c r="A11" s="5" t="s">
        <v>33</v>
      </c>
      <c r="B11" s="5" t="s">
        <v>34</v>
      </c>
      <c r="D11" s="5" t="s">
        <v>44</v>
      </c>
      <c r="E11" s="5" t="s">
        <v>36</v>
      </c>
      <c r="F11" s="5" t="s">
        <v>83</v>
      </c>
      <c r="H11" s="5" t="s">
        <v>47</v>
      </c>
      <c r="I11" s="5" t="s">
        <v>84</v>
      </c>
      <c r="J11" s="5" t="s">
        <v>77</v>
      </c>
      <c r="K11" s="5" t="s">
        <v>50</v>
      </c>
      <c r="L11" s="5" t="s">
        <v>51</v>
      </c>
      <c r="M11" s="5" t="s">
        <v>52</v>
      </c>
      <c r="N11" s="5">
        <f>KEY!$C$2</f>
        <v>0.65</v>
      </c>
      <c r="O11" s="5">
        <f>KEY!$D$2</f>
        <v>10</v>
      </c>
      <c r="P11" s="5">
        <f>KEY!$B$2</f>
        <v>7200</v>
      </c>
      <c r="Q11" s="5">
        <f>KEY!$E$2</f>
        <v>0.06</v>
      </c>
      <c r="R11" s="5">
        <f t="shared" si="1"/>
        <v>432</v>
      </c>
      <c r="S11" s="5">
        <f>IFERROR(VLOOKUP($L11,KEY!$A$13:$G$84,4,FALSE),0.4)</f>
        <v>0.5</v>
      </c>
      <c r="T11" s="5">
        <f t="shared" si="2"/>
        <v>216</v>
      </c>
      <c r="U11" s="5">
        <f t="shared" si="3"/>
        <v>7.2</v>
      </c>
      <c r="V11" s="5">
        <f t="shared" si="4"/>
        <v>4.5</v>
      </c>
      <c r="W11" s="6">
        <f>IFERROR(VLOOKUP($L11,KEY!$A$13:$G$84,7,FALSE),18)</f>
        <v>28</v>
      </c>
      <c r="X11" s="6">
        <v>10.0</v>
      </c>
      <c r="Y11" s="7">
        <v>8500.0</v>
      </c>
      <c r="Z11" s="8">
        <v>75000.0</v>
      </c>
      <c r="AA11" s="7">
        <f t="shared" si="5"/>
        <v>55250</v>
      </c>
      <c r="AB11" s="9">
        <f t="shared" si="6"/>
        <v>552.5</v>
      </c>
      <c r="AC11" s="5">
        <f t="shared" si="7"/>
        <v>337500</v>
      </c>
      <c r="AD11" s="9">
        <f t="shared" si="8"/>
        <v>9450</v>
      </c>
      <c r="AE11" s="9">
        <f t="shared" si="9"/>
        <v>10002.5</v>
      </c>
      <c r="AF11" s="7">
        <f t="shared" si="10"/>
        <v>392750</v>
      </c>
      <c r="AG11" s="9">
        <f t="shared" si="11"/>
        <v>25.46785487</v>
      </c>
    </row>
    <row r="12">
      <c r="A12" s="5" t="s">
        <v>33</v>
      </c>
      <c r="B12" s="5" t="s">
        <v>34</v>
      </c>
      <c r="D12" s="5" t="s">
        <v>35</v>
      </c>
      <c r="E12" s="5" t="s">
        <v>36</v>
      </c>
      <c r="F12" s="5" t="s">
        <v>85</v>
      </c>
      <c r="H12" s="5" t="s">
        <v>54</v>
      </c>
      <c r="I12" s="5" t="s">
        <v>86</v>
      </c>
      <c r="J12" s="5" t="s">
        <v>60</v>
      </c>
      <c r="K12" s="5" t="s">
        <v>87</v>
      </c>
      <c r="L12" s="5" t="s">
        <v>42</v>
      </c>
      <c r="M12" s="5" t="s">
        <v>43</v>
      </c>
      <c r="N12" s="5">
        <f>KEY!$C$2</f>
        <v>0.65</v>
      </c>
      <c r="O12" s="5">
        <f>KEY!$D$2</f>
        <v>10</v>
      </c>
      <c r="P12" s="5">
        <f>KEY!$B$2</f>
        <v>7200</v>
      </c>
      <c r="Q12" s="5">
        <f>KEY!$E$2</f>
        <v>0.06</v>
      </c>
      <c r="R12" s="5">
        <f t="shared" si="1"/>
        <v>432</v>
      </c>
      <c r="S12" s="5">
        <f>IFERROR(VLOOKUP($L12,KEY!$A$13:$G$84,4,FALSE),0.4)</f>
        <v>0.4</v>
      </c>
      <c r="T12" s="5">
        <f t="shared" si="2"/>
        <v>172.8</v>
      </c>
      <c r="U12" s="5">
        <f t="shared" si="3"/>
        <v>5.76</v>
      </c>
      <c r="V12" s="5">
        <f t="shared" si="4"/>
        <v>3.6</v>
      </c>
      <c r="W12" s="6">
        <f>IFERROR(VLOOKUP($L12,KEY!$A$13:$G$84,7,FALSE),18)</f>
        <v>18</v>
      </c>
      <c r="X12" s="6">
        <v>10.0</v>
      </c>
      <c r="Y12" s="7">
        <v>548.0</v>
      </c>
      <c r="Z12" s="8">
        <v>1500.0</v>
      </c>
      <c r="AA12" s="7">
        <f t="shared" si="5"/>
        <v>3562</v>
      </c>
      <c r="AB12" s="9">
        <f t="shared" si="6"/>
        <v>35.62</v>
      </c>
      <c r="AC12" s="5">
        <f t="shared" si="7"/>
        <v>5400</v>
      </c>
      <c r="AD12" s="9">
        <f t="shared" si="8"/>
        <v>97.2</v>
      </c>
      <c r="AE12" s="9">
        <f t="shared" si="9"/>
        <v>132.82</v>
      </c>
      <c r="AF12" s="7">
        <f t="shared" si="10"/>
        <v>8962</v>
      </c>
      <c r="AG12" s="9">
        <f t="shared" si="11"/>
        <v>14.8203526</v>
      </c>
    </row>
    <row r="13">
      <c r="A13" s="5" t="s">
        <v>33</v>
      </c>
      <c r="B13" s="5" t="s">
        <v>34</v>
      </c>
      <c r="D13" s="5" t="s">
        <v>44</v>
      </c>
      <c r="E13" s="5" t="s">
        <v>36</v>
      </c>
      <c r="F13" s="5" t="s">
        <v>88</v>
      </c>
      <c r="H13" s="5" t="s">
        <v>58</v>
      </c>
      <c r="I13" s="5" t="s">
        <v>89</v>
      </c>
      <c r="J13" s="5" t="s">
        <v>77</v>
      </c>
      <c r="K13" s="5" t="s">
        <v>41</v>
      </c>
      <c r="L13" s="5" t="s">
        <v>42</v>
      </c>
      <c r="M13" s="5" t="s">
        <v>43</v>
      </c>
      <c r="N13" s="5">
        <f>KEY!$C$2</f>
        <v>0.65</v>
      </c>
      <c r="O13" s="5">
        <f>KEY!$D$2</f>
        <v>10</v>
      </c>
      <c r="P13" s="5">
        <f>KEY!$B$2</f>
        <v>7200</v>
      </c>
      <c r="Q13" s="5">
        <f>KEY!$E$2</f>
        <v>0.06</v>
      </c>
      <c r="R13" s="5">
        <f t="shared" si="1"/>
        <v>432</v>
      </c>
      <c r="S13" s="5">
        <f>IFERROR(VLOOKUP($L13,KEY!$A$13:$G$84,4,FALSE),0.4)</f>
        <v>0.4</v>
      </c>
      <c r="T13" s="5">
        <f t="shared" si="2"/>
        <v>172.8</v>
      </c>
      <c r="U13" s="5">
        <f t="shared" si="3"/>
        <v>5.76</v>
      </c>
      <c r="V13" s="5">
        <f t="shared" si="4"/>
        <v>3.6</v>
      </c>
      <c r="W13" s="6">
        <f>IFERROR(VLOOKUP($L13,KEY!$A$13:$G$84,7,FALSE),18)</f>
        <v>18</v>
      </c>
      <c r="X13" s="6">
        <v>10.0</v>
      </c>
      <c r="Y13" s="7">
        <v>600.0</v>
      </c>
      <c r="Z13" s="8">
        <v>1500.0</v>
      </c>
      <c r="AA13" s="7">
        <f t="shared" si="5"/>
        <v>3900</v>
      </c>
      <c r="AB13" s="9">
        <f t="shared" si="6"/>
        <v>39</v>
      </c>
      <c r="AC13" s="5">
        <f t="shared" si="7"/>
        <v>5400</v>
      </c>
      <c r="AD13" s="9">
        <f t="shared" si="8"/>
        <v>97.2</v>
      </c>
      <c r="AE13" s="9">
        <f t="shared" si="9"/>
        <v>136.2</v>
      </c>
      <c r="AF13" s="7">
        <f t="shared" si="10"/>
        <v>9300</v>
      </c>
      <c r="AG13" s="9">
        <f t="shared" si="11"/>
        <v>14.64516129</v>
      </c>
    </row>
    <row r="14">
      <c r="A14" s="5" t="s">
        <v>33</v>
      </c>
      <c r="B14" s="5" t="s">
        <v>34</v>
      </c>
      <c r="D14" s="5" t="s">
        <v>35</v>
      </c>
      <c r="E14" s="5" t="s">
        <v>36</v>
      </c>
      <c r="F14" s="5" t="s">
        <v>90</v>
      </c>
      <c r="H14" s="5" t="s">
        <v>91</v>
      </c>
      <c r="I14" s="5" t="s">
        <v>92</v>
      </c>
      <c r="J14" s="5" t="s">
        <v>60</v>
      </c>
      <c r="K14" s="5" t="s">
        <v>78</v>
      </c>
      <c r="L14" s="5" t="s">
        <v>42</v>
      </c>
      <c r="M14" s="5" t="s">
        <v>43</v>
      </c>
      <c r="N14" s="5">
        <f>KEY!$C$2</f>
        <v>0.65</v>
      </c>
      <c r="O14" s="5">
        <f>KEY!$D$2</f>
        <v>10</v>
      </c>
      <c r="P14" s="5">
        <f>KEY!$B$2</f>
        <v>7200</v>
      </c>
      <c r="Q14" s="5">
        <f>KEY!$E$2</f>
        <v>0.06</v>
      </c>
      <c r="R14" s="5">
        <f t="shared" si="1"/>
        <v>432</v>
      </c>
      <c r="S14" s="5">
        <f>IFERROR(VLOOKUP($L14,KEY!$A$13:$G$84,4,FALSE),0.4)</f>
        <v>0.4</v>
      </c>
      <c r="T14" s="5">
        <f t="shared" si="2"/>
        <v>172.8</v>
      </c>
      <c r="U14" s="5">
        <f t="shared" si="3"/>
        <v>5.76</v>
      </c>
      <c r="V14" s="5">
        <f t="shared" si="4"/>
        <v>3.6</v>
      </c>
      <c r="W14" s="6">
        <f>IFERROR(VLOOKUP($L14,KEY!$A$13:$G$84,7,FALSE),18)</f>
        <v>18</v>
      </c>
      <c r="X14" s="6">
        <v>10.0</v>
      </c>
      <c r="Y14" s="7">
        <v>400.0</v>
      </c>
      <c r="Z14" s="8">
        <v>1500.0</v>
      </c>
      <c r="AA14" s="7">
        <f t="shared" si="5"/>
        <v>2600</v>
      </c>
      <c r="AB14" s="9">
        <f t="shared" si="6"/>
        <v>26</v>
      </c>
      <c r="AC14" s="5">
        <f t="shared" si="7"/>
        <v>5400</v>
      </c>
      <c r="AD14" s="9">
        <f t="shared" si="8"/>
        <v>97.2</v>
      </c>
      <c r="AE14" s="9">
        <f t="shared" si="9"/>
        <v>123.2</v>
      </c>
      <c r="AF14" s="7">
        <f t="shared" si="10"/>
        <v>8000</v>
      </c>
      <c r="AG14" s="9">
        <f t="shared" si="11"/>
        <v>15.4</v>
      </c>
    </row>
    <row r="15">
      <c r="A15" s="5" t="s">
        <v>33</v>
      </c>
      <c r="B15" s="5" t="s">
        <v>34</v>
      </c>
      <c r="D15" s="5" t="s">
        <v>44</v>
      </c>
      <c r="E15" s="5" t="s">
        <v>36</v>
      </c>
      <c r="F15" s="5" t="s">
        <v>93</v>
      </c>
      <c r="H15" s="5" t="s">
        <v>94</v>
      </c>
      <c r="I15" s="5" t="s">
        <v>95</v>
      </c>
      <c r="J15" s="5" t="s">
        <v>81</v>
      </c>
      <c r="K15" s="5" t="s">
        <v>96</v>
      </c>
      <c r="L15" s="5" t="s">
        <v>97</v>
      </c>
      <c r="M15" s="5" t="s">
        <v>43</v>
      </c>
      <c r="N15" s="5">
        <f>KEY!$C$2</f>
        <v>0.65</v>
      </c>
      <c r="O15" s="5">
        <f>KEY!$D$2</f>
        <v>10</v>
      </c>
      <c r="P15" s="5">
        <f>KEY!$B$2</f>
        <v>7200</v>
      </c>
      <c r="Q15" s="5">
        <f>KEY!$E$2</f>
        <v>0.06</v>
      </c>
      <c r="R15" s="5">
        <f t="shared" si="1"/>
        <v>432</v>
      </c>
      <c r="S15" s="5">
        <f>IFERROR(VLOOKUP($L15,KEY!$A$13:$G$84,4,FALSE),0.4)</f>
        <v>0.4</v>
      </c>
      <c r="T15" s="5">
        <f t="shared" si="2"/>
        <v>172.8</v>
      </c>
      <c r="U15" s="5">
        <f t="shared" si="3"/>
        <v>5.76</v>
      </c>
      <c r="V15" s="5">
        <f t="shared" si="4"/>
        <v>3.6</v>
      </c>
      <c r="W15" s="6">
        <f>IFERROR(VLOOKUP($L15,KEY!$A$13:$G$84,7,FALSE),18)</f>
        <v>18</v>
      </c>
      <c r="X15" s="6">
        <v>10.0</v>
      </c>
      <c r="Y15" s="7">
        <v>4500.0</v>
      </c>
      <c r="Z15" s="7">
        <v>50000.0</v>
      </c>
      <c r="AA15" s="7">
        <f t="shared" si="5"/>
        <v>29250</v>
      </c>
      <c r="AB15" s="9">
        <f t="shared" si="6"/>
        <v>292.5</v>
      </c>
      <c r="AC15" s="5">
        <f t="shared" si="7"/>
        <v>180000</v>
      </c>
      <c r="AD15" s="9">
        <f t="shared" si="8"/>
        <v>3240</v>
      </c>
      <c r="AE15" s="9">
        <f t="shared" si="9"/>
        <v>3532.5</v>
      </c>
      <c r="AF15" s="7">
        <f t="shared" si="10"/>
        <v>209250</v>
      </c>
      <c r="AG15" s="9">
        <f t="shared" si="11"/>
        <v>16.88172043</v>
      </c>
    </row>
    <row r="16">
      <c r="A16" s="5" t="s">
        <v>33</v>
      </c>
      <c r="B16" s="5" t="s">
        <v>34</v>
      </c>
      <c r="D16" s="5" t="s">
        <v>35</v>
      </c>
      <c r="E16" s="5" t="s">
        <v>36</v>
      </c>
      <c r="F16" s="5" t="s">
        <v>98</v>
      </c>
      <c r="I16" s="5" t="s">
        <v>99</v>
      </c>
      <c r="J16" s="5" t="s">
        <v>60</v>
      </c>
      <c r="K16" s="5" t="s">
        <v>87</v>
      </c>
      <c r="L16" s="5" t="s">
        <v>42</v>
      </c>
      <c r="M16" s="5" t="s">
        <v>43</v>
      </c>
      <c r="N16" s="5">
        <f>KEY!$C$2</f>
        <v>0.65</v>
      </c>
      <c r="O16" s="5">
        <f>KEY!$D$2</f>
        <v>10</v>
      </c>
      <c r="P16" s="5">
        <f>KEY!$B$2</f>
        <v>7200</v>
      </c>
      <c r="Q16" s="5">
        <f>KEY!$E$2</f>
        <v>0.06</v>
      </c>
      <c r="R16" s="5">
        <f t="shared" si="1"/>
        <v>432</v>
      </c>
      <c r="S16" s="5">
        <f>IFERROR(VLOOKUP($L16,KEY!$A$13:$G$84,4,FALSE),0.4)</f>
        <v>0.4</v>
      </c>
      <c r="T16" s="5">
        <f t="shared" si="2"/>
        <v>172.8</v>
      </c>
      <c r="U16" s="5">
        <f t="shared" si="3"/>
        <v>5.76</v>
      </c>
      <c r="V16" s="5">
        <f t="shared" si="4"/>
        <v>3.6</v>
      </c>
      <c r="W16" s="6">
        <f>IFERROR(VLOOKUP($L16,KEY!$A$13:$G$84,7,FALSE),18)</f>
        <v>18</v>
      </c>
      <c r="X16" s="6">
        <v>10.0</v>
      </c>
      <c r="Y16" s="7">
        <v>200.0</v>
      </c>
      <c r="Z16" s="8">
        <v>1500.0</v>
      </c>
      <c r="AA16" s="7">
        <f t="shared" si="5"/>
        <v>1300</v>
      </c>
      <c r="AB16" s="9">
        <f t="shared" si="6"/>
        <v>13</v>
      </c>
      <c r="AC16" s="5">
        <f t="shared" si="7"/>
        <v>5400</v>
      </c>
      <c r="AD16" s="9">
        <f t="shared" si="8"/>
        <v>97.2</v>
      </c>
      <c r="AE16" s="9">
        <f t="shared" si="9"/>
        <v>110.2</v>
      </c>
      <c r="AF16" s="7">
        <f t="shared" si="10"/>
        <v>6700</v>
      </c>
      <c r="AG16" s="9">
        <f t="shared" si="11"/>
        <v>16.44776119</v>
      </c>
    </row>
    <row r="17">
      <c r="A17" s="5" t="s">
        <v>33</v>
      </c>
      <c r="B17" s="5" t="s">
        <v>34</v>
      </c>
      <c r="D17" s="5" t="s">
        <v>35</v>
      </c>
      <c r="E17" s="5" t="s">
        <v>100</v>
      </c>
      <c r="F17" s="5" t="s">
        <v>101</v>
      </c>
      <c r="H17" s="5" t="s">
        <v>100</v>
      </c>
      <c r="I17" s="5" t="s">
        <v>102</v>
      </c>
      <c r="J17" s="5" t="s">
        <v>67</v>
      </c>
      <c r="K17" s="5" t="s">
        <v>41</v>
      </c>
      <c r="L17" s="5" t="s">
        <v>42</v>
      </c>
      <c r="M17" s="5" t="s">
        <v>43</v>
      </c>
      <c r="N17" s="5">
        <f>KEY!$C$2</f>
        <v>0.65</v>
      </c>
      <c r="O17" s="5">
        <f>KEY!$D$2</f>
        <v>10</v>
      </c>
      <c r="P17" s="5">
        <f>KEY!$B$2</f>
        <v>7200</v>
      </c>
      <c r="Q17" s="5">
        <f>KEY!$E$2</f>
        <v>0.06</v>
      </c>
      <c r="R17" s="5">
        <f t="shared" si="1"/>
        <v>432</v>
      </c>
      <c r="S17" s="5">
        <f>IFERROR(VLOOKUP($L17,KEY!$A$13:$G$84,4,FALSE),0.4)</f>
        <v>0.4</v>
      </c>
      <c r="T17" s="5">
        <f t="shared" si="2"/>
        <v>172.8</v>
      </c>
      <c r="U17" s="5">
        <f t="shared" si="3"/>
        <v>5.76</v>
      </c>
      <c r="V17" s="5">
        <f t="shared" si="4"/>
        <v>3.6</v>
      </c>
      <c r="W17" s="6">
        <f>IFERROR(VLOOKUP($L17,KEY!$A$13:$G$84,7,FALSE),18)</f>
        <v>18</v>
      </c>
      <c r="X17" s="6">
        <v>10.0</v>
      </c>
      <c r="Y17" s="7">
        <v>450.0</v>
      </c>
      <c r="Z17" s="8">
        <v>1500.0</v>
      </c>
      <c r="AA17" s="7">
        <f t="shared" si="5"/>
        <v>2925</v>
      </c>
      <c r="AB17" s="9">
        <f t="shared" si="6"/>
        <v>29.25</v>
      </c>
      <c r="AC17" s="5">
        <f t="shared" si="7"/>
        <v>5400</v>
      </c>
      <c r="AD17" s="9">
        <f t="shared" si="8"/>
        <v>97.2</v>
      </c>
      <c r="AE17" s="9">
        <f t="shared" si="9"/>
        <v>126.45</v>
      </c>
      <c r="AF17" s="7">
        <f t="shared" si="10"/>
        <v>8325</v>
      </c>
      <c r="AG17" s="9">
        <f t="shared" si="11"/>
        <v>15.18918919</v>
      </c>
    </row>
    <row r="18">
      <c r="A18" s="5" t="s">
        <v>33</v>
      </c>
      <c r="B18" s="5" t="s">
        <v>34</v>
      </c>
      <c r="D18" s="5" t="s">
        <v>44</v>
      </c>
      <c r="E18" s="5" t="s">
        <v>100</v>
      </c>
      <c r="F18" s="5" t="s">
        <v>103</v>
      </c>
      <c r="H18" s="5" t="s">
        <v>100</v>
      </c>
      <c r="I18" s="5" t="s">
        <v>104</v>
      </c>
      <c r="J18" s="5" t="s">
        <v>60</v>
      </c>
      <c r="K18" s="5" t="s">
        <v>105</v>
      </c>
      <c r="L18" s="5" t="s">
        <v>42</v>
      </c>
      <c r="M18" s="5" t="s">
        <v>43</v>
      </c>
      <c r="N18" s="5">
        <f>KEY!$C$2</f>
        <v>0.65</v>
      </c>
      <c r="O18" s="5">
        <f>KEY!$D$2</f>
        <v>10</v>
      </c>
      <c r="P18" s="5">
        <f>KEY!$B$2</f>
        <v>7200</v>
      </c>
      <c r="Q18" s="5">
        <f>KEY!$E$2</f>
        <v>0.06</v>
      </c>
      <c r="R18" s="5">
        <f t="shared" si="1"/>
        <v>432</v>
      </c>
      <c r="S18" s="5">
        <f>IFERROR(VLOOKUP($L18,KEY!$A$13:$G$84,4,FALSE),0.4)</f>
        <v>0.4</v>
      </c>
      <c r="T18" s="5">
        <f t="shared" si="2"/>
        <v>172.8</v>
      </c>
      <c r="U18" s="5">
        <f t="shared" si="3"/>
        <v>5.76</v>
      </c>
      <c r="V18" s="5">
        <f t="shared" si="4"/>
        <v>3.6</v>
      </c>
      <c r="W18" s="6">
        <f>IFERROR(VLOOKUP($L18,KEY!$A$13:$G$84,7,FALSE),18)</f>
        <v>18</v>
      </c>
      <c r="X18" s="6">
        <v>10.0</v>
      </c>
      <c r="Y18" s="7">
        <v>1100.0</v>
      </c>
      <c r="Z18" s="8">
        <v>1500.0</v>
      </c>
      <c r="AA18" s="7">
        <f t="shared" si="5"/>
        <v>7150</v>
      </c>
      <c r="AB18" s="9">
        <f t="shared" si="6"/>
        <v>71.5</v>
      </c>
      <c r="AC18" s="5">
        <f t="shared" si="7"/>
        <v>5400</v>
      </c>
      <c r="AD18" s="9">
        <f t="shared" si="8"/>
        <v>97.2</v>
      </c>
      <c r="AE18" s="9">
        <f t="shared" si="9"/>
        <v>168.7</v>
      </c>
      <c r="AF18" s="7">
        <f t="shared" si="10"/>
        <v>12550</v>
      </c>
      <c r="AG18" s="9">
        <f t="shared" si="11"/>
        <v>13.44223108</v>
      </c>
    </row>
    <row r="19">
      <c r="A19" s="5" t="s">
        <v>33</v>
      </c>
      <c r="B19" s="5" t="s">
        <v>34</v>
      </c>
      <c r="D19" s="5" t="s">
        <v>35</v>
      </c>
      <c r="E19" s="5" t="s">
        <v>100</v>
      </c>
      <c r="F19" s="5" t="s">
        <v>106</v>
      </c>
      <c r="H19" s="5" t="s">
        <v>100</v>
      </c>
      <c r="I19" s="5" t="s">
        <v>107</v>
      </c>
      <c r="J19" s="5" t="s">
        <v>67</v>
      </c>
      <c r="K19" s="5" t="s">
        <v>61</v>
      </c>
      <c r="L19" s="5" t="s">
        <v>42</v>
      </c>
      <c r="M19" s="5" t="s">
        <v>43</v>
      </c>
      <c r="N19" s="5">
        <f>KEY!$C$2</f>
        <v>0.65</v>
      </c>
      <c r="O19" s="5">
        <f>KEY!$D$2</f>
        <v>10</v>
      </c>
      <c r="P19" s="5">
        <f>KEY!$B$2</f>
        <v>7200</v>
      </c>
      <c r="Q19" s="5">
        <f>KEY!$E$2</f>
        <v>0.06</v>
      </c>
      <c r="R19" s="5">
        <f t="shared" si="1"/>
        <v>432</v>
      </c>
      <c r="S19" s="5">
        <f>IFERROR(VLOOKUP($L19,KEY!$A$13:$G$84,4,FALSE),0.4)</f>
        <v>0.4</v>
      </c>
      <c r="T19" s="5">
        <f t="shared" si="2"/>
        <v>172.8</v>
      </c>
      <c r="U19" s="5">
        <f t="shared" si="3"/>
        <v>5.76</v>
      </c>
      <c r="V19" s="5">
        <f t="shared" si="4"/>
        <v>3.6</v>
      </c>
      <c r="W19" s="6">
        <f>IFERROR(VLOOKUP($L19,KEY!$A$13:$G$84,7,FALSE),18)</f>
        <v>18</v>
      </c>
      <c r="X19" s="6">
        <v>10.0</v>
      </c>
      <c r="Y19" s="7">
        <v>550.0</v>
      </c>
      <c r="Z19" s="8">
        <v>1500.0</v>
      </c>
      <c r="AA19" s="7">
        <f t="shared" si="5"/>
        <v>3575</v>
      </c>
      <c r="AB19" s="9">
        <f t="shared" si="6"/>
        <v>35.75</v>
      </c>
      <c r="AC19" s="5">
        <f t="shared" si="7"/>
        <v>5400</v>
      </c>
      <c r="AD19" s="9">
        <f t="shared" si="8"/>
        <v>97.2</v>
      </c>
      <c r="AE19" s="9">
        <f t="shared" si="9"/>
        <v>132.95</v>
      </c>
      <c r="AF19" s="7">
        <f t="shared" si="10"/>
        <v>8975</v>
      </c>
      <c r="AG19" s="9">
        <f t="shared" si="11"/>
        <v>14.81337047</v>
      </c>
    </row>
    <row r="20">
      <c r="A20" s="5" t="s">
        <v>33</v>
      </c>
      <c r="B20" s="5" t="s">
        <v>34</v>
      </c>
      <c r="D20" s="5" t="s">
        <v>35</v>
      </c>
      <c r="E20" s="5" t="s">
        <v>100</v>
      </c>
      <c r="F20" s="5" t="s">
        <v>108</v>
      </c>
      <c r="H20" s="5" t="s">
        <v>100</v>
      </c>
      <c r="I20" s="5" t="s">
        <v>109</v>
      </c>
      <c r="J20" s="5" t="s">
        <v>60</v>
      </c>
      <c r="K20" s="5" t="s">
        <v>96</v>
      </c>
      <c r="L20" s="5" t="s">
        <v>42</v>
      </c>
      <c r="M20" s="5" t="s">
        <v>43</v>
      </c>
      <c r="N20" s="5">
        <f>KEY!$C$2</f>
        <v>0.65</v>
      </c>
      <c r="O20" s="5">
        <f>KEY!$D$2</f>
        <v>10</v>
      </c>
      <c r="P20" s="5">
        <f>KEY!$B$2</f>
        <v>7200</v>
      </c>
      <c r="Q20" s="5">
        <f>KEY!$E$2</f>
        <v>0.06</v>
      </c>
      <c r="R20" s="5">
        <f t="shared" si="1"/>
        <v>432</v>
      </c>
      <c r="S20" s="5">
        <f>IFERROR(VLOOKUP($L20,KEY!$A$13:$G$84,4,FALSE),0.4)</f>
        <v>0.4</v>
      </c>
      <c r="T20" s="5">
        <f t="shared" si="2"/>
        <v>172.8</v>
      </c>
      <c r="U20" s="5">
        <f t="shared" si="3"/>
        <v>5.76</v>
      </c>
      <c r="V20" s="5">
        <f t="shared" si="4"/>
        <v>3.6</v>
      </c>
      <c r="W20" s="6">
        <f>IFERROR(VLOOKUP($L20,KEY!$A$13:$G$84,7,FALSE),18)</f>
        <v>18</v>
      </c>
      <c r="X20" s="6">
        <v>10.0</v>
      </c>
      <c r="Y20" s="7">
        <v>500.0</v>
      </c>
      <c r="Z20" s="8">
        <v>1500.0</v>
      </c>
      <c r="AA20" s="7">
        <f t="shared" si="5"/>
        <v>3250</v>
      </c>
      <c r="AB20" s="9">
        <f t="shared" si="6"/>
        <v>32.5</v>
      </c>
      <c r="AC20" s="5">
        <f t="shared" si="7"/>
        <v>5400</v>
      </c>
      <c r="AD20" s="9">
        <f t="shared" si="8"/>
        <v>97.2</v>
      </c>
      <c r="AE20" s="9">
        <f t="shared" si="9"/>
        <v>129.7</v>
      </c>
      <c r="AF20" s="7">
        <f t="shared" si="10"/>
        <v>8650</v>
      </c>
      <c r="AG20" s="9">
        <f t="shared" si="11"/>
        <v>14.99421965</v>
      </c>
    </row>
    <row r="21" ht="15.75" customHeight="1">
      <c r="A21" s="5" t="s">
        <v>33</v>
      </c>
      <c r="B21" s="5" t="s">
        <v>34</v>
      </c>
      <c r="D21" s="5" t="s">
        <v>44</v>
      </c>
      <c r="E21" s="5" t="s">
        <v>100</v>
      </c>
      <c r="F21" s="5" t="s">
        <v>110</v>
      </c>
      <c r="H21" s="5" t="s">
        <v>100</v>
      </c>
      <c r="I21" s="5" t="s">
        <v>111</v>
      </c>
      <c r="J21" s="5" t="s">
        <v>67</v>
      </c>
      <c r="K21" s="5" t="s">
        <v>41</v>
      </c>
      <c r="L21" s="5" t="s">
        <v>42</v>
      </c>
      <c r="M21" s="5" t="s">
        <v>43</v>
      </c>
      <c r="N21" s="5">
        <f>KEY!$C$2</f>
        <v>0.65</v>
      </c>
      <c r="O21" s="5">
        <f>KEY!$D$2</f>
        <v>10</v>
      </c>
      <c r="P21" s="5">
        <f>KEY!$B$2</f>
        <v>7200</v>
      </c>
      <c r="Q21" s="5">
        <f>KEY!$E$2</f>
        <v>0.06</v>
      </c>
      <c r="R21" s="5">
        <f t="shared" si="1"/>
        <v>432</v>
      </c>
      <c r="S21" s="5">
        <f>IFERROR(VLOOKUP($L21,KEY!$A$13:$G$84,4,FALSE),0.4)</f>
        <v>0.4</v>
      </c>
      <c r="T21" s="5">
        <f t="shared" si="2"/>
        <v>172.8</v>
      </c>
      <c r="U21" s="5">
        <f t="shared" si="3"/>
        <v>5.76</v>
      </c>
      <c r="V21" s="5">
        <f t="shared" si="4"/>
        <v>3.6</v>
      </c>
      <c r="W21" s="6">
        <f>IFERROR(VLOOKUP($L21,KEY!$A$13:$G$84,7,FALSE),18)</f>
        <v>18</v>
      </c>
      <c r="X21" s="6">
        <v>10.0</v>
      </c>
      <c r="Y21" s="7">
        <v>2200.0</v>
      </c>
      <c r="Z21" s="8">
        <v>1500.0</v>
      </c>
      <c r="AA21" s="7">
        <f t="shared" si="5"/>
        <v>14300</v>
      </c>
      <c r="AB21" s="9">
        <f t="shared" si="6"/>
        <v>143</v>
      </c>
      <c r="AC21" s="5">
        <f t="shared" si="7"/>
        <v>5400</v>
      </c>
      <c r="AD21" s="9">
        <f t="shared" si="8"/>
        <v>97.2</v>
      </c>
      <c r="AE21" s="9">
        <f t="shared" si="9"/>
        <v>240.2</v>
      </c>
      <c r="AF21" s="7">
        <f t="shared" si="10"/>
        <v>19700</v>
      </c>
      <c r="AG21" s="9">
        <f t="shared" si="11"/>
        <v>12.1928934</v>
      </c>
    </row>
    <row r="22" ht="15.75" customHeight="1">
      <c r="A22" s="5" t="s">
        <v>33</v>
      </c>
      <c r="B22" s="5" t="s">
        <v>34</v>
      </c>
      <c r="D22" s="5" t="s">
        <v>44</v>
      </c>
      <c r="E22" s="5" t="s">
        <v>100</v>
      </c>
      <c r="F22" s="5" t="s">
        <v>112</v>
      </c>
      <c r="H22" s="5" t="s">
        <v>100</v>
      </c>
      <c r="I22" s="5" t="s">
        <v>113</v>
      </c>
      <c r="J22" s="5" t="s">
        <v>60</v>
      </c>
      <c r="K22" s="5" t="s">
        <v>78</v>
      </c>
      <c r="L22" s="5" t="s">
        <v>42</v>
      </c>
      <c r="M22" s="5" t="s">
        <v>43</v>
      </c>
      <c r="N22" s="5">
        <f>KEY!$C$2</f>
        <v>0.65</v>
      </c>
      <c r="O22" s="5">
        <f>KEY!$D$2</f>
        <v>10</v>
      </c>
      <c r="P22" s="5">
        <f>KEY!$B$2</f>
        <v>7200</v>
      </c>
      <c r="Q22" s="5">
        <f>KEY!$E$2</f>
        <v>0.06</v>
      </c>
      <c r="R22" s="5">
        <f t="shared" si="1"/>
        <v>432</v>
      </c>
      <c r="S22" s="5">
        <f>IFERROR(VLOOKUP($L22,KEY!$A$13:$G$84,4,FALSE),0.4)</f>
        <v>0.4</v>
      </c>
      <c r="T22" s="5">
        <f t="shared" si="2"/>
        <v>172.8</v>
      </c>
      <c r="U22" s="5">
        <f t="shared" si="3"/>
        <v>5.76</v>
      </c>
      <c r="V22" s="5">
        <f t="shared" si="4"/>
        <v>3.6</v>
      </c>
      <c r="W22" s="6">
        <f>IFERROR(VLOOKUP($L22,KEY!$A$13:$G$84,7,FALSE),18)</f>
        <v>18</v>
      </c>
      <c r="X22" s="6">
        <v>10.0</v>
      </c>
      <c r="Y22" s="7">
        <v>2100.0</v>
      </c>
      <c r="Z22" s="8">
        <v>1500.0</v>
      </c>
      <c r="AA22" s="7">
        <f t="shared" si="5"/>
        <v>13650</v>
      </c>
      <c r="AB22" s="9">
        <f t="shared" si="6"/>
        <v>136.5</v>
      </c>
      <c r="AC22" s="5">
        <f t="shared" si="7"/>
        <v>5400</v>
      </c>
      <c r="AD22" s="9">
        <f t="shared" si="8"/>
        <v>97.2</v>
      </c>
      <c r="AE22" s="9">
        <f t="shared" si="9"/>
        <v>233.7</v>
      </c>
      <c r="AF22" s="7">
        <f t="shared" si="10"/>
        <v>19050</v>
      </c>
      <c r="AG22" s="9">
        <f t="shared" si="11"/>
        <v>12.26771654</v>
      </c>
    </row>
    <row r="23" ht="15.75" customHeight="1">
      <c r="A23" s="5" t="s">
        <v>33</v>
      </c>
      <c r="B23" s="5" t="s">
        <v>34</v>
      </c>
      <c r="D23" s="5" t="s">
        <v>35</v>
      </c>
      <c r="E23" s="5" t="s">
        <v>100</v>
      </c>
      <c r="F23" s="5" t="s">
        <v>103</v>
      </c>
      <c r="H23" s="5" t="s">
        <v>100</v>
      </c>
      <c r="I23" s="5" t="s">
        <v>114</v>
      </c>
      <c r="J23" s="5" t="s">
        <v>67</v>
      </c>
      <c r="K23" s="5" t="s">
        <v>41</v>
      </c>
      <c r="L23" s="5" t="s">
        <v>42</v>
      </c>
      <c r="M23" s="5" t="s">
        <v>43</v>
      </c>
      <c r="N23" s="5">
        <f>KEY!$C$2</f>
        <v>0.65</v>
      </c>
      <c r="O23" s="5">
        <f>KEY!$D$2</f>
        <v>10</v>
      </c>
      <c r="P23" s="5">
        <f>KEY!$B$2</f>
        <v>7200</v>
      </c>
      <c r="Q23" s="5">
        <f>KEY!$E$2</f>
        <v>0.06</v>
      </c>
      <c r="R23" s="5">
        <f t="shared" si="1"/>
        <v>432</v>
      </c>
      <c r="S23" s="5">
        <f>IFERROR(VLOOKUP($L23,KEY!$A$13:$G$84,4,FALSE),0.4)</f>
        <v>0.4</v>
      </c>
      <c r="T23" s="5">
        <f t="shared" si="2"/>
        <v>172.8</v>
      </c>
      <c r="U23" s="5">
        <f t="shared" si="3"/>
        <v>5.76</v>
      </c>
      <c r="V23" s="5">
        <f t="shared" si="4"/>
        <v>3.6</v>
      </c>
      <c r="W23" s="6">
        <f>IFERROR(VLOOKUP($L23,KEY!$A$13:$G$84,7,FALSE),18)</f>
        <v>18</v>
      </c>
      <c r="X23" s="6">
        <v>10.0</v>
      </c>
      <c r="Y23" s="7">
        <v>480.0</v>
      </c>
      <c r="Z23" s="8">
        <v>1500.0</v>
      </c>
      <c r="AA23" s="7">
        <f t="shared" si="5"/>
        <v>3120</v>
      </c>
      <c r="AB23" s="9">
        <f t="shared" si="6"/>
        <v>31.2</v>
      </c>
      <c r="AC23" s="5">
        <f t="shared" si="7"/>
        <v>5400</v>
      </c>
      <c r="AD23" s="9">
        <f t="shared" si="8"/>
        <v>97.2</v>
      </c>
      <c r="AE23" s="9">
        <f t="shared" si="9"/>
        <v>128.4</v>
      </c>
      <c r="AF23" s="7">
        <f t="shared" si="10"/>
        <v>8520</v>
      </c>
      <c r="AG23" s="9">
        <f t="shared" si="11"/>
        <v>15.07042254</v>
      </c>
    </row>
    <row r="24" ht="15.75" customHeight="1">
      <c r="A24" s="5" t="s">
        <v>33</v>
      </c>
      <c r="B24" s="5" t="s">
        <v>34</v>
      </c>
      <c r="D24" s="5" t="s">
        <v>35</v>
      </c>
      <c r="E24" s="5" t="s">
        <v>100</v>
      </c>
      <c r="F24" s="5" t="s">
        <v>115</v>
      </c>
      <c r="H24" s="5" t="s">
        <v>100</v>
      </c>
      <c r="I24" s="5" t="s">
        <v>116</v>
      </c>
      <c r="J24" s="5" t="s">
        <v>60</v>
      </c>
      <c r="K24" s="5" t="s">
        <v>87</v>
      </c>
      <c r="L24" s="5" t="s">
        <v>42</v>
      </c>
      <c r="M24" s="5" t="s">
        <v>43</v>
      </c>
      <c r="N24" s="5">
        <f>KEY!$C$2</f>
        <v>0.65</v>
      </c>
      <c r="O24" s="5">
        <f>KEY!$D$2</f>
        <v>10</v>
      </c>
      <c r="P24" s="5">
        <f>KEY!$B$2</f>
        <v>7200</v>
      </c>
      <c r="Q24" s="5">
        <f>KEY!$E$2</f>
        <v>0.06</v>
      </c>
      <c r="R24" s="5">
        <f t="shared" si="1"/>
        <v>432</v>
      </c>
      <c r="S24" s="5">
        <f>IFERROR(VLOOKUP($L24,KEY!$A$13:$G$84,4,FALSE),0.4)</f>
        <v>0.4</v>
      </c>
      <c r="T24" s="5">
        <f t="shared" si="2"/>
        <v>172.8</v>
      </c>
      <c r="U24" s="5">
        <f t="shared" si="3"/>
        <v>5.76</v>
      </c>
      <c r="V24" s="5">
        <f t="shared" si="4"/>
        <v>3.6</v>
      </c>
      <c r="W24" s="6">
        <f>IFERROR(VLOOKUP($L24,KEY!$A$13:$G$84,7,FALSE),18)</f>
        <v>18</v>
      </c>
      <c r="X24" s="6">
        <v>10.0</v>
      </c>
      <c r="Y24" s="7">
        <v>520.0</v>
      </c>
      <c r="Z24" s="8">
        <v>1500.0</v>
      </c>
      <c r="AA24" s="7">
        <f t="shared" si="5"/>
        <v>3380</v>
      </c>
      <c r="AB24" s="9">
        <f t="shared" si="6"/>
        <v>33.8</v>
      </c>
      <c r="AC24" s="5">
        <f t="shared" si="7"/>
        <v>5400</v>
      </c>
      <c r="AD24" s="9">
        <f t="shared" si="8"/>
        <v>97.2</v>
      </c>
      <c r="AE24" s="9">
        <f t="shared" si="9"/>
        <v>131</v>
      </c>
      <c r="AF24" s="7">
        <f t="shared" si="10"/>
        <v>8780</v>
      </c>
      <c r="AG24" s="9">
        <f t="shared" si="11"/>
        <v>14.92027335</v>
      </c>
    </row>
    <row r="25" ht="15.75" customHeight="1">
      <c r="A25" s="5" t="s">
        <v>33</v>
      </c>
      <c r="B25" s="5" t="s">
        <v>34</v>
      </c>
      <c r="D25" s="5" t="s">
        <v>44</v>
      </c>
      <c r="E25" s="5" t="s">
        <v>100</v>
      </c>
      <c r="F25" s="5" t="s">
        <v>106</v>
      </c>
      <c r="H25" s="5" t="s">
        <v>100</v>
      </c>
      <c r="I25" s="5" t="s">
        <v>117</v>
      </c>
      <c r="J25" s="5" t="s">
        <v>67</v>
      </c>
      <c r="K25" s="5" t="s">
        <v>71</v>
      </c>
      <c r="L25" s="5" t="s">
        <v>42</v>
      </c>
      <c r="M25" s="5" t="s">
        <v>43</v>
      </c>
      <c r="N25" s="5">
        <f>KEY!$C$2</f>
        <v>0.65</v>
      </c>
      <c r="O25" s="5">
        <f>KEY!$D$2</f>
        <v>10</v>
      </c>
      <c r="P25" s="5">
        <f>KEY!$B$2</f>
        <v>7200</v>
      </c>
      <c r="Q25" s="5">
        <f>KEY!$E$2</f>
        <v>0.06</v>
      </c>
      <c r="R25" s="5">
        <f t="shared" si="1"/>
        <v>432</v>
      </c>
      <c r="S25" s="5">
        <f>IFERROR(VLOOKUP($L25,KEY!$A$13:$G$84,4,FALSE),0.4)</f>
        <v>0.4</v>
      </c>
      <c r="T25" s="5">
        <f t="shared" si="2"/>
        <v>172.8</v>
      </c>
      <c r="U25" s="5">
        <f t="shared" si="3"/>
        <v>5.76</v>
      </c>
      <c r="V25" s="5">
        <f t="shared" si="4"/>
        <v>3.6</v>
      </c>
      <c r="W25" s="6">
        <f>IFERROR(VLOOKUP($L25,KEY!$A$13:$G$84,7,FALSE),18)</f>
        <v>18</v>
      </c>
      <c r="X25" s="6">
        <v>10.0</v>
      </c>
      <c r="Y25" s="7">
        <v>1400.0</v>
      </c>
      <c r="Z25" s="8">
        <v>1500.0</v>
      </c>
      <c r="AA25" s="7">
        <f t="shared" si="5"/>
        <v>9100</v>
      </c>
      <c r="AB25" s="9">
        <f t="shared" si="6"/>
        <v>91</v>
      </c>
      <c r="AC25" s="5">
        <f t="shared" si="7"/>
        <v>5400</v>
      </c>
      <c r="AD25" s="9">
        <f t="shared" si="8"/>
        <v>97.2</v>
      </c>
      <c r="AE25" s="9">
        <f t="shared" si="9"/>
        <v>188.2</v>
      </c>
      <c r="AF25" s="7">
        <f t="shared" si="10"/>
        <v>14500</v>
      </c>
      <c r="AG25" s="9">
        <f t="shared" si="11"/>
        <v>12.97931034</v>
      </c>
    </row>
    <row r="26" ht="15.75" customHeight="1">
      <c r="A26" s="5" t="s">
        <v>33</v>
      </c>
      <c r="B26" s="5" t="s">
        <v>34</v>
      </c>
      <c r="D26" s="5" t="s">
        <v>44</v>
      </c>
      <c r="E26" s="5" t="s">
        <v>100</v>
      </c>
      <c r="F26" s="5" t="s">
        <v>108</v>
      </c>
      <c r="H26" s="5" t="s">
        <v>100</v>
      </c>
      <c r="I26" s="5" t="s">
        <v>118</v>
      </c>
      <c r="J26" s="5" t="s">
        <v>60</v>
      </c>
      <c r="K26" s="5" t="s">
        <v>105</v>
      </c>
      <c r="L26" s="5" t="s">
        <v>42</v>
      </c>
      <c r="M26" s="5" t="s">
        <v>43</v>
      </c>
      <c r="N26" s="5">
        <f>KEY!$C$2</f>
        <v>0.65</v>
      </c>
      <c r="O26" s="5">
        <f>KEY!$D$2</f>
        <v>10</v>
      </c>
      <c r="P26" s="5">
        <f>KEY!$B$2</f>
        <v>7200</v>
      </c>
      <c r="Q26" s="5">
        <f>KEY!$E$2</f>
        <v>0.06</v>
      </c>
      <c r="R26" s="5">
        <f t="shared" si="1"/>
        <v>432</v>
      </c>
      <c r="S26" s="5">
        <f>IFERROR(VLOOKUP($L26,KEY!$A$13:$G$84,4,FALSE),0.4)</f>
        <v>0.4</v>
      </c>
      <c r="T26" s="5">
        <f t="shared" si="2"/>
        <v>172.8</v>
      </c>
      <c r="U26" s="5">
        <f t="shared" si="3"/>
        <v>5.76</v>
      </c>
      <c r="V26" s="5">
        <f t="shared" si="4"/>
        <v>3.6</v>
      </c>
      <c r="W26" s="6">
        <f>IFERROR(VLOOKUP($L26,KEY!$A$13:$G$84,7,FALSE),18)</f>
        <v>18</v>
      </c>
      <c r="X26" s="6">
        <v>10.0</v>
      </c>
      <c r="Y26" s="7">
        <v>1200.0</v>
      </c>
      <c r="Z26" s="8">
        <v>1500.0</v>
      </c>
      <c r="AA26" s="7">
        <f t="shared" si="5"/>
        <v>7800</v>
      </c>
      <c r="AB26" s="9">
        <f t="shared" si="6"/>
        <v>78</v>
      </c>
      <c r="AC26" s="5">
        <f t="shared" si="7"/>
        <v>5400</v>
      </c>
      <c r="AD26" s="9">
        <f t="shared" si="8"/>
        <v>97.2</v>
      </c>
      <c r="AE26" s="9">
        <f t="shared" si="9"/>
        <v>175.2</v>
      </c>
      <c r="AF26" s="7">
        <f t="shared" si="10"/>
        <v>13200</v>
      </c>
      <c r="AG26" s="9">
        <f t="shared" si="11"/>
        <v>13.27272727</v>
      </c>
    </row>
    <row r="27" ht="15.75" customHeight="1">
      <c r="A27" s="5" t="s">
        <v>33</v>
      </c>
      <c r="B27" s="5" t="s">
        <v>34</v>
      </c>
      <c r="D27" s="5" t="s">
        <v>44</v>
      </c>
      <c r="E27" s="5" t="s">
        <v>100</v>
      </c>
      <c r="F27" s="5" t="s">
        <v>115</v>
      </c>
      <c r="H27" s="5" t="s">
        <v>100</v>
      </c>
      <c r="I27" s="5" t="s">
        <v>119</v>
      </c>
      <c r="J27" s="5" t="s">
        <v>67</v>
      </c>
      <c r="K27" s="5" t="s">
        <v>71</v>
      </c>
      <c r="L27" s="5" t="s">
        <v>42</v>
      </c>
      <c r="M27" s="5" t="s">
        <v>43</v>
      </c>
      <c r="N27" s="5">
        <f>KEY!$C$2</f>
        <v>0.65</v>
      </c>
      <c r="O27" s="5">
        <f>KEY!$D$2</f>
        <v>10</v>
      </c>
      <c r="P27" s="5">
        <f>KEY!$B$2</f>
        <v>7200</v>
      </c>
      <c r="Q27" s="5">
        <f>KEY!$E$2</f>
        <v>0.06</v>
      </c>
      <c r="R27" s="5">
        <f t="shared" si="1"/>
        <v>432</v>
      </c>
      <c r="S27" s="5">
        <f>IFERROR(VLOOKUP($L27,KEY!$A$13:$G$84,4,FALSE),0.4)</f>
        <v>0.4</v>
      </c>
      <c r="T27" s="5">
        <f t="shared" si="2"/>
        <v>172.8</v>
      </c>
      <c r="U27" s="5">
        <f t="shared" si="3"/>
        <v>5.76</v>
      </c>
      <c r="V27" s="5">
        <f t="shared" si="4"/>
        <v>3.6</v>
      </c>
      <c r="W27" s="6">
        <f>IFERROR(VLOOKUP($L27,KEY!$A$13:$G$84,7,FALSE),18)</f>
        <v>18</v>
      </c>
      <c r="X27" s="6">
        <v>10.0</v>
      </c>
      <c r="Y27" s="7">
        <v>1800.0</v>
      </c>
      <c r="Z27" s="8">
        <v>1500.0</v>
      </c>
      <c r="AA27" s="7">
        <f t="shared" si="5"/>
        <v>11700</v>
      </c>
      <c r="AB27" s="9">
        <f t="shared" si="6"/>
        <v>117</v>
      </c>
      <c r="AC27" s="5">
        <f t="shared" si="7"/>
        <v>5400</v>
      </c>
      <c r="AD27" s="9">
        <f t="shared" si="8"/>
        <v>97.2</v>
      </c>
      <c r="AE27" s="9">
        <f t="shared" si="9"/>
        <v>214.2</v>
      </c>
      <c r="AF27" s="7">
        <f t="shared" si="10"/>
        <v>17100</v>
      </c>
      <c r="AG27" s="9">
        <f t="shared" si="11"/>
        <v>12.52631579</v>
      </c>
    </row>
    <row r="28" ht="15.75" customHeight="1">
      <c r="A28" s="5" t="s">
        <v>33</v>
      </c>
      <c r="B28" s="5" t="s">
        <v>34</v>
      </c>
      <c r="D28" s="5" t="s">
        <v>35</v>
      </c>
      <c r="E28" s="5" t="s">
        <v>100</v>
      </c>
      <c r="F28" s="5" t="s">
        <v>120</v>
      </c>
      <c r="H28" s="5" t="s">
        <v>100</v>
      </c>
      <c r="I28" s="5" t="s">
        <v>121</v>
      </c>
      <c r="J28" s="5" t="s">
        <v>60</v>
      </c>
      <c r="K28" s="5" t="s">
        <v>87</v>
      </c>
      <c r="L28" s="5" t="s">
        <v>42</v>
      </c>
      <c r="M28" s="5" t="s">
        <v>43</v>
      </c>
      <c r="N28" s="5">
        <f>KEY!$C$2</f>
        <v>0.65</v>
      </c>
      <c r="O28" s="5">
        <f>KEY!$D$2</f>
        <v>10</v>
      </c>
      <c r="P28" s="5">
        <f>KEY!$B$2</f>
        <v>7200</v>
      </c>
      <c r="Q28" s="5">
        <f>KEY!$E$2</f>
        <v>0.06</v>
      </c>
      <c r="R28" s="5">
        <f t="shared" si="1"/>
        <v>432</v>
      </c>
      <c r="S28" s="5">
        <f>IFERROR(VLOOKUP($L28,KEY!$A$13:$G$84,4,FALSE),0.4)</f>
        <v>0.4</v>
      </c>
      <c r="T28" s="5">
        <f t="shared" si="2"/>
        <v>172.8</v>
      </c>
      <c r="U28" s="5">
        <f t="shared" si="3"/>
        <v>5.76</v>
      </c>
      <c r="V28" s="5">
        <f t="shared" si="4"/>
        <v>3.6</v>
      </c>
      <c r="W28" s="6">
        <f>IFERROR(VLOOKUP($L28,KEY!$A$13:$G$84,7,FALSE),18)</f>
        <v>18</v>
      </c>
      <c r="X28" s="6">
        <v>10.0</v>
      </c>
      <c r="Y28" s="7">
        <v>540.0</v>
      </c>
      <c r="Z28" s="8">
        <v>1500.0</v>
      </c>
      <c r="AA28" s="7">
        <f t="shared" si="5"/>
        <v>3510</v>
      </c>
      <c r="AB28" s="9">
        <f t="shared" si="6"/>
        <v>35.1</v>
      </c>
      <c r="AC28" s="5">
        <f t="shared" si="7"/>
        <v>5400</v>
      </c>
      <c r="AD28" s="9">
        <f t="shared" si="8"/>
        <v>97.2</v>
      </c>
      <c r="AE28" s="9">
        <f t="shared" si="9"/>
        <v>132.3</v>
      </c>
      <c r="AF28" s="7">
        <f t="shared" si="10"/>
        <v>8910</v>
      </c>
      <c r="AG28" s="9">
        <f t="shared" si="11"/>
        <v>14.84848485</v>
      </c>
    </row>
    <row r="29" ht="15.75" customHeight="1">
      <c r="A29" s="5" t="s">
        <v>33</v>
      </c>
      <c r="B29" s="5" t="s">
        <v>34</v>
      </c>
      <c r="D29" s="5" t="s">
        <v>44</v>
      </c>
      <c r="E29" s="5" t="s">
        <v>100</v>
      </c>
      <c r="F29" s="5" t="s">
        <v>101</v>
      </c>
      <c r="H29" s="5" t="s">
        <v>100</v>
      </c>
      <c r="I29" s="5" t="s">
        <v>122</v>
      </c>
      <c r="J29" s="5" t="s">
        <v>60</v>
      </c>
      <c r="K29" s="5" t="s">
        <v>82</v>
      </c>
      <c r="L29" s="5" t="s">
        <v>42</v>
      </c>
      <c r="M29" s="5" t="s">
        <v>43</v>
      </c>
      <c r="N29" s="5">
        <f>KEY!$C$2</f>
        <v>0.65</v>
      </c>
      <c r="O29" s="5">
        <f>KEY!$D$2</f>
        <v>10</v>
      </c>
      <c r="P29" s="5">
        <f>KEY!$B$2</f>
        <v>7200</v>
      </c>
      <c r="Q29" s="5">
        <f>KEY!$E$2</f>
        <v>0.06</v>
      </c>
      <c r="R29" s="5">
        <f t="shared" si="1"/>
        <v>432</v>
      </c>
      <c r="S29" s="5">
        <f>IFERROR(VLOOKUP($L29,KEY!$A$13:$G$84,4,FALSE),0.4)</f>
        <v>0.4</v>
      </c>
      <c r="T29" s="5">
        <f t="shared" si="2"/>
        <v>172.8</v>
      </c>
      <c r="U29" s="5">
        <f t="shared" si="3"/>
        <v>5.76</v>
      </c>
      <c r="V29" s="5">
        <f t="shared" si="4"/>
        <v>3.6</v>
      </c>
      <c r="W29" s="6">
        <f>IFERROR(VLOOKUP($L29,KEY!$A$13:$G$84,7,FALSE),18)</f>
        <v>18</v>
      </c>
      <c r="X29" s="6">
        <v>10.0</v>
      </c>
      <c r="Y29" s="7">
        <v>1500.0</v>
      </c>
      <c r="Z29" s="8">
        <v>1500.0</v>
      </c>
      <c r="AA29" s="7">
        <f t="shared" si="5"/>
        <v>9750</v>
      </c>
      <c r="AB29" s="9">
        <f t="shared" si="6"/>
        <v>97.5</v>
      </c>
      <c r="AC29" s="5">
        <f t="shared" si="7"/>
        <v>5400</v>
      </c>
      <c r="AD29" s="9">
        <f t="shared" si="8"/>
        <v>97.2</v>
      </c>
      <c r="AE29" s="9">
        <f t="shared" si="9"/>
        <v>194.7</v>
      </c>
      <c r="AF29" s="7">
        <f t="shared" si="10"/>
        <v>15150</v>
      </c>
      <c r="AG29" s="9">
        <f t="shared" si="11"/>
        <v>12.85148515</v>
      </c>
    </row>
    <row r="30" ht="15.75" customHeight="1">
      <c r="A30" s="5" t="s">
        <v>33</v>
      </c>
      <c r="B30" s="5" t="s">
        <v>34</v>
      </c>
      <c r="D30" s="5" t="s">
        <v>35</v>
      </c>
      <c r="E30" s="5" t="s">
        <v>100</v>
      </c>
      <c r="F30" s="5" t="s">
        <v>110</v>
      </c>
      <c r="H30" s="5" t="s">
        <v>100</v>
      </c>
      <c r="I30" s="5" t="s">
        <v>123</v>
      </c>
      <c r="J30" s="5" t="s">
        <v>67</v>
      </c>
      <c r="K30" s="5" t="s">
        <v>41</v>
      </c>
      <c r="L30" s="5" t="s">
        <v>42</v>
      </c>
      <c r="M30" s="5" t="s">
        <v>43</v>
      </c>
      <c r="N30" s="5">
        <f>KEY!$C$2</f>
        <v>0.65</v>
      </c>
      <c r="O30" s="5">
        <f>KEY!$D$2</f>
        <v>10</v>
      </c>
      <c r="P30" s="5">
        <f>KEY!$B$2</f>
        <v>7200</v>
      </c>
      <c r="Q30" s="5">
        <f>KEY!$E$2</f>
        <v>0.06</v>
      </c>
      <c r="R30" s="5">
        <f t="shared" si="1"/>
        <v>432</v>
      </c>
      <c r="S30" s="5">
        <f>IFERROR(VLOOKUP($L30,KEY!$A$13:$G$84,4,FALSE),0.4)</f>
        <v>0.4</v>
      </c>
      <c r="T30" s="5">
        <f t="shared" si="2"/>
        <v>172.8</v>
      </c>
      <c r="U30" s="5">
        <f t="shared" si="3"/>
        <v>5.76</v>
      </c>
      <c r="V30" s="5">
        <f t="shared" si="4"/>
        <v>3.6</v>
      </c>
      <c r="W30" s="6">
        <f>IFERROR(VLOOKUP($L30,KEY!$A$13:$G$84,7,FALSE),18)</f>
        <v>18</v>
      </c>
      <c r="X30" s="6">
        <v>10.0</v>
      </c>
      <c r="Y30" s="7">
        <v>430.0</v>
      </c>
      <c r="Z30" s="8">
        <v>1500.0</v>
      </c>
      <c r="AA30" s="7">
        <f t="shared" si="5"/>
        <v>2795</v>
      </c>
      <c r="AB30" s="9">
        <f t="shared" si="6"/>
        <v>27.95</v>
      </c>
      <c r="AC30" s="5">
        <f t="shared" si="7"/>
        <v>5400</v>
      </c>
      <c r="AD30" s="9">
        <f t="shared" si="8"/>
        <v>97.2</v>
      </c>
      <c r="AE30" s="9">
        <f t="shared" si="9"/>
        <v>125.15</v>
      </c>
      <c r="AF30" s="7">
        <f t="shared" si="10"/>
        <v>8195</v>
      </c>
      <c r="AG30" s="9">
        <f t="shared" si="11"/>
        <v>15.27150702</v>
      </c>
    </row>
    <row r="31" ht="15.75" customHeight="1">
      <c r="A31" s="5" t="s">
        <v>33</v>
      </c>
      <c r="B31" s="5" t="s">
        <v>34</v>
      </c>
      <c r="D31" s="5" t="s">
        <v>35</v>
      </c>
      <c r="E31" s="5" t="s">
        <v>100</v>
      </c>
      <c r="F31" s="5" t="s">
        <v>112</v>
      </c>
      <c r="H31" s="5" t="s">
        <v>100</v>
      </c>
      <c r="I31" s="5" t="s">
        <v>124</v>
      </c>
      <c r="J31" s="5" t="s">
        <v>60</v>
      </c>
      <c r="K31" s="5" t="s">
        <v>87</v>
      </c>
      <c r="L31" s="5" t="s">
        <v>42</v>
      </c>
      <c r="M31" s="5" t="s">
        <v>43</v>
      </c>
      <c r="N31" s="5">
        <f>KEY!$C$2</f>
        <v>0.65</v>
      </c>
      <c r="O31" s="5">
        <f>KEY!$D$2</f>
        <v>10</v>
      </c>
      <c r="P31" s="5">
        <f>KEY!$B$2</f>
        <v>7200</v>
      </c>
      <c r="Q31" s="5">
        <f>KEY!$E$2</f>
        <v>0.06</v>
      </c>
      <c r="R31" s="5">
        <f t="shared" si="1"/>
        <v>432</v>
      </c>
      <c r="S31" s="5">
        <f>IFERROR(VLOOKUP($L31,KEY!$A$13:$G$84,4,FALSE),0.4)</f>
        <v>0.4</v>
      </c>
      <c r="T31" s="5">
        <f t="shared" si="2"/>
        <v>172.8</v>
      </c>
      <c r="U31" s="5">
        <f t="shared" si="3"/>
        <v>5.76</v>
      </c>
      <c r="V31" s="5">
        <f t="shared" si="4"/>
        <v>3.6</v>
      </c>
      <c r="W31" s="6">
        <f>IFERROR(VLOOKUP($L31,KEY!$A$13:$G$84,7,FALSE),18)</f>
        <v>18</v>
      </c>
      <c r="X31" s="6">
        <v>10.0</v>
      </c>
      <c r="Y31" s="7">
        <v>460.0</v>
      </c>
      <c r="Z31" s="8">
        <v>1500.0</v>
      </c>
      <c r="AA31" s="7">
        <f t="shared" si="5"/>
        <v>2990</v>
      </c>
      <c r="AB31" s="9">
        <f t="shared" si="6"/>
        <v>29.9</v>
      </c>
      <c r="AC31" s="5">
        <f t="shared" si="7"/>
        <v>5400</v>
      </c>
      <c r="AD31" s="9">
        <f t="shared" si="8"/>
        <v>97.2</v>
      </c>
      <c r="AE31" s="9">
        <f t="shared" si="9"/>
        <v>127.1</v>
      </c>
      <c r="AF31" s="7">
        <f t="shared" si="10"/>
        <v>8390</v>
      </c>
      <c r="AG31" s="9">
        <f t="shared" si="11"/>
        <v>15.14898689</v>
      </c>
    </row>
    <row r="32" ht="15.75" customHeight="1">
      <c r="A32" s="5" t="s">
        <v>33</v>
      </c>
      <c r="B32" s="5" t="s">
        <v>34</v>
      </c>
      <c r="D32" s="5" t="s">
        <v>44</v>
      </c>
      <c r="E32" s="5" t="s">
        <v>100</v>
      </c>
      <c r="F32" s="5" t="s">
        <v>120</v>
      </c>
      <c r="H32" s="5" t="s">
        <v>100</v>
      </c>
      <c r="I32" s="5" t="s">
        <v>125</v>
      </c>
      <c r="J32" s="5" t="s">
        <v>56</v>
      </c>
      <c r="K32" s="5" t="s">
        <v>41</v>
      </c>
      <c r="L32" s="5" t="s">
        <v>42</v>
      </c>
      <c r="M32" s="5" t="s">
        <v>43</v>
      </c>
      <c r="N32" s="5">
        <f>KEY!$C$2</f>
        <v>0.65</v>
      </c>
      <c r="O32" s="5">
        <f>KEY!$D$2</f>
        <v>10</v>
      </c>
      <c r="P32" s="5">
        <f>KEY!$B$2</f>
        <v>7200</v>
      </c>
      <c r="Q32" s="5">
        <f>KEY!$E$2</f>
        <v>0.06</v>
      </c>
      <c r="R32" s="5">
        <f t="shared" si="1"/>
        <v>432</v>
      </c>
      <c r="S32" s="5">
        <f>IFERROR(VLOOKUP($L32,KEY!$A$13:$G$84,4,FALSE),0.4)</f>
        <v>0.4</v>
      </c>
      <c r="T32" s="5">
        <f t="shared" si="2"/>
        <v>172.8</v>
      </c>
      <c r="U32" s="5">
        <f t="shared" si="3"/>
        <v>5.76</v>
      </c>
      <c r="V32" s="5">
        <f t="shared" si="4"/>
        <v>3.6</v>
      </c>
      <c r="W32" s="6">
        <f>IFERROR(VLOOKUP($L32,KEY!$A$13:$G$84,7,FALSE),18)</f>
        <v>18</v>
      </c>
      <c r="X32" s="6">
        <v>10.0</v>
      </c>
      <c r="Y32" s="7">
        <v>1800.0</v>
      </c>
      <c r="Z32" s="8">
        <v>1500.0</v>
      </c>
      <c r="AA32" s="7">
        <f t="shared" si="5"/>
        <v>11700</v>
      </c>
      <c r="AB32" s="9">
        <f t="shared" si="6"/>
        <v>117</v>
      </c>
      <c r="AC32" s="5">
        <f t="shared" si="7"/>
        <v>5400</v>
      </c>
      <c r="AD32" s="9">
        <f t="shared" si="8"/>
        <v>97.2</v>
      </c>
      <c r="AE32" s="9">
        <f t="shared" si="9"/>
        <v>214.2</v>
      </c>
      <c r="AF32" s="7">
        <f t="shared" si="10"/>
        <v>17100</v>
      </c>
      <c r="AG32" s="9">
        <f t="shared" si="11"/>
        <v>12.52631579</v>
      </c>
    </row>
    <row r="33" ht="15.75" customHeight="1">
      <c r="A33" s="5" t="s">
        <v>126</v>
      </c>
      <c r="B33" s="5" t="s">
        <v>34</v>
      </c>
      <c r="D33" s="5" t="s">
        <v>44</v>
      </c>
      <c r="E33" s="5" t="s">
        <v>36</v>
      </c>
      <c r="F33" s="5" t="s">
        <v>127</v>
      </c>
      <c r="H33" s="5" t="s">
        <v>91</v>
      </c>
      <c r="I33" s="5" t="s">
        <v>39</v>
      </c>
      <c r="J33" s="5" t="s">
        <v>40</v>
      </c>
      <c r="K33" s="5" t="s">
        <v>41</v>
      </c>
      <c r="L33" s="5" t="s">
        <v>42</v>
      </c>
      <c r="M33" s="5" t="s">
        <v>43</v>
      </c>
      <c r="N33" s="5">
        <f>KEY!$C$2</f>
        <v>0.65</v>
      </c>
      <c r="O33" s="5">
        <f>KEY!$D$2</f>
        <v>10</v>
      </c>
      <c r="P33" s="5">
        <f>KEY!$B$2</f>
        <v>7200</v>
      </c>
      <c r="Q33" s="5">
        <f>KEY!$E$2</f>
        <v>0.06</v>
      </c>
      <c r="R33" s="5">
        <f t="shared" si="1"/>
        <v>432</v>
      </c>
      <c r="S33" s="5">
        <f>IFERROR(VLOOKUP($L33,KEY!$A$13:$G$84,4,FALSE),0.4)</f>
        <v>0.4</v>
      </c>
      <c r="T33" s="5">
        <f t="shared" si="2"/>
        <v>172.8</v>
      </c>
      <c r="U33" s="5">
        <f t="shared" si="3"/>
        <v>5.76</v>
      </c>
      <c r="V33" s="5">
        <f t="shared" si="4"/>
        <v>3.6</v>
      </c>
      <c r="W33" s="6">
        <f>IFERROR(VLOOKUP($L33,KEY!$A$13:$G$84,7,FALSE),18)</f>
        <v>18</v>
      </c>
      <c r="X33" s="6">
        <v>10.0</v>
      </c>
      <c r="Y33" s="7">
        <v>450.0</v>
      </c>
      <c r="Z33" s="8">
        <v>1000.0</v>
      </c>
      <c r="AA33" s="7">
        <f t="shared" si="5"/>
        <v>2925</v>
      </c>
      <c r="AB33" s="9">
        <f t="shared" si="6"/>
        <v>29.25</v>
      </c>
      <c r="AC33" s="5">
        <f t="shared" si="7"/>
        <v>3600</v>
      </c>
      <c r="AD33" s="9">
        <f t="shared" si="8"/>
        <v>64.8</v>
      </c>
      <c r="AE33" s="9">
        <f t="shared" si="9"/>
        <v>94.05</v>
      </c>
      <c r="AF33" s="7">
        <f t="shared" si="10"/>
        <v>6525</v>
      </c>
      <c r="AG33" s="9">
        <f t="shared" si="11"/>
        <v>14.4137931</v>
      </c>
    </row>
    <row r="34" ht="15.75" customHeight="1">
      <c r="A34" s="5" t="s">
        <v>126</v>
      </c>
      <c r="B34" s="5" t="s">
        <v>34</v>
      </c>
      <c r="D34" s="5" t="s">
        <v>35</v>
      </c>
      <c r="E34" s="5" t="s">
        <v>36</v>
      </c>
      <c r="F34" s="5" t="s">
        <v>128</v>
      </c>
      <c r="H34" s="5" t="s">
        <v>129</v>
      </c>
      <c r="I34" s="5" t="s">
        <v>48</v>
      </c>
      <c r="J34" s="5" t="s">
        <v>49</v>
      </c>
      <c r="K34" s="5" t="s">
        <v>71</v>
      </c>
      <c r="L34" s="5" t="s">
        <v>42</v>
      </c>
      <c r="M34" s="5" t="s">
        <v>43</v>
      </c>
      <c r="N34" s="5">
        <f>KEY!$C$2</f>
        <v>0.65</v>
      </c>
      <c r="O34" s="5">
        <f>KEY!$D$2</f>
        <v>10</v>
      </c>
      <c r="P34" s="5">
        <f>KEY!$B$2</f>
        <v>7200</v>
      </c>
      <c r="Q34" s="5">
        <f>KEY!$E$2</f>
        <v>0.06</v>
      </c>
      <c r="R34" s="5">
        <f t="shared" si="1"/>
        <v>432</v>
      </c>
      <c r="S34" s="5">
        <f>IFERROR(VLOOKUP($L34,KEY!$A$13:$G$84,4,FALSE),0.4)</f>
        <v>0.4</v>
      </c>
      <c r="T34" s="5">
        <f t="shared" si="2"/>
        <v>172.8</v>
      </c>
      <c r="U34" s="5">
        <f t="shared" si="3"/>
        <v>5.76</v>
      </c>
      <c r="V34" s="5">
        <f t="shared" si="4"/>
        <v>3.6</v>
      </c>
      <c r="W34" s="6">
        <f>IFERROR(VLOOKUP($L34,KEY!$A$13:$G$84,7,FALSE),18)</f>
        <v>18</v>
      </c>
      <c r="X34" s="6">
        <v>10.0</v>
      </c>
      <c r="Y34" s="7">
        <v>280.0</v>
      </c>
      <c r="Z34" s="8">
        <v>1000.0</v>
      </c>
      <c r="AA34" s="7">
        <f t="shared" si="5"/>
        <v>1820</v>
      </c>
      <c r="AB34" s="9">
        <f t="shared" si="6"/>
        <v>18.2</v>
      </c>
      <c r="AC34" s="5">
        <f t="shared" si="7"/>
        <v>3600</v>
      </c>
      <c r="AD34" s="9">
        <f t="shared" si="8"/>
        <v>64.8</v>
      </c>
      <c r="AE34" s="9">
        <f t="shared" si="9"/>
        <v>83</v>
      </c>
      <c r="AF34" s="7">
        <f t="shared" si="10"/>
        <v>5420</v>
      </c>
      <c r="AG34" s="9">
        <f t="shared" si="11"/>
        <v>15.31365314</v>
      </c>
    </row>
    <row r="35" ht="15.75" customHeight="1">
      <c r="A35" s="5" t="s">
        <v>126</v>
      </c>
      <c r="B35" s="5" t="s">
        <v>34</v>
      </c>
      <c r="D35" s="5" t="s">
        <v>44</v>
      </c>
      <c r="E35" s="5" t="s">
        <v>36</v>
      </c>
      <c r="F35" s="5" t="s">
        <v>130</v>
      </c>
      <c r="H35" s="5" t="s">
        <v>131</v>
      </c>
      <c r="I35" s="5" t="s">
        <v>132</v>
      </c>
      <c r="J35" s="5" t="s">
        <v>81</v>
      </c>
      <c r="K35" s="5" t="s">
        <v>87</v>
      </c>
      <c r="L35" s="5" t="s">
        <v>133</v>
      </c>
      <c r="M35" s="5" t="s">
        <v>52</v>
      </c>
      <c r="N35" s="5">
        <f>KEY!$C$2</f>
        <v>0.65</v>
      </c>
      <c r="O35" s="5">
        <f>KEY!$D$2</f>
        <v>10</v>
      </c>
      <c r="P35" s="5">
        <f>KEY!$B$2</f>
        <v>7200</v>
      </c>
      <c r="Q35" s="5">
        <f>KEY!$E$2</f>
        <v>0.06</v>
      </c>
      <c r="R35" s="5">
        <f t="shared" si="1"/>
        <v>432</v>
      </c>
      <c r="S35" s="5">
        <f>IFERROR(VLOOKUP($L35,KEY!$A$13:$G$84,4,FALSE),0.4)</f>
        <v>0.45</v>
      </c>
      <c r="T35" s="5">
        <f t="shared" si="2"/>
        <v>194.4</v>
      </c>
      <c r="U35" s="5">
        <f t="shared" si="3"/>
        <v>6.48</v>
      </c>
      <c r="V35" s="5">
        <f t="shared" si="4"/>
        <v>4.05</v>
      </c>
      <c r="W35" s="6">
        <f>IFERROR(VLOOKUP($L35,KEY!$A$13:$G$84,7,FALSE),18)</f>
        <v>22</v>
      </c>
      <c r="X35" s="6">
        <v>10.0</v>
      </c>
      <c r="Y35" s="7">
        <v>4200.0</v>
      </c>
      <c r="Z35" s="8">
        <v>15000.0</v>
      </c>
      <c r="AA35" s="7">
        <f t="shared" si="5"/>
        <v>27300</v>
      </c>
      <c r="AB35" s="9">
        <f t="shared" si="6"/>
        <v>273</v>
      </c>
      <c r="AC35" s="5">
        <f t="shared" si="7"/>
        <v>60750</v>
      </c>
      <c r="AD35" s="9">
        <f t="shared" si="8"/>
        <v>1336.5</v>
      </c>
      <c r="AE35" s="9">
        <f t="shared" si="9"/>
        <v>1609.5</v>
      </c>
      <c r="AF35" s="7">
        <f t="shared" si="10"/>
        <v>88050</v>
      </c>
      <c r="AG35" s="9">
        <f t="shared" si="11"/>
        <v>18.27938671</v>
      </c>
    </row>
    <row r="36" ht="15.75" customHeight="1">
      <c r="A36" s="5" t="s">
        <v>126</v>
      </c>
      <c r="B36" s="5" t="s">
        <v>34</v>
      </c>
      <c r="D36" s="5" t="s">
        <v>35</v>
      </c>
      <c r="E36" s="5" t="s">
        <v>36</v>
      </c>
      <c r="F36" s="5" t="s">
        <v>134</v>
      </c>
      <c r="H36" s="5" t="s">
        <v>91</v>
      </c>
      <c r="I36" s="5" t="s">
        <v>135</v>
      </c>
      <c r="J36" s="5" t="s">
        <v>77</v>
      </c>
      <c r="K36" s="5" t="s">
        <v>71</v>
      </c>
      <c r="L36" s="5" t="s">
        <v>42</v>
      </c>
      <c r="M36" s="5" t="s">
        <v>43</v>
      </c>
      <c r="N36" s="5">
        <f>KEY!$C$2</f>
        <v>0.65</v>
      </c>
      <c r="O36" s="5">
        <f>KEY!$D$2</f>
        <v>10</v>
      </c>
      <c r="P36" s="5">
        <f>KEY!$B$2</f>
        <v>7200</v>
      </c>
      <c r="Q36" s="5">
        <f>KEY!$E$2</f>
        <v>0.06</v>
      </c>
      <c r="R36" s="5">
        <f t="shared" si="1"/>
        <v>432</v>
      </c>
      <c r="S36" s="5">
        <f>IFERROR(VLOOKUP($L36,KEY!$A$13:$G$84,4,FALSE),0.4)</f>
        <v>0.4</v>
      </c>
      <c r="T36" s="5">
        <f t="shared" si="2"/>
        <v>172.8</v>
      </c>
      <c r="U36" s="5">
        <f t="shared" si="3"/>
        <v>5.76</v>
      </c>
      <c r="V36" s="5">
        <f t="shared" si="4"/>
        <v>3.6</v>
      </c>
      <c r="W36" s="6">
        <f>IFERROR(VLOOKUP($L36,KEY!$A$13:$G$84,7,FALSE),18)</f>
        <v>18</v>
      </c>
      <c r="X36" s="6">
        <v>10.0</v>
      </c>
      <c r="Y36" s="7">
        <v>220.0</v>
      </c>
      <c r="Z36" s="8">
        <v>1000.0</v>
      </c>
      <c r="AA36" s="7">
        <f t="shared" si="5"/>
        <v>1430</v>
      </c>
      <c r="AB36" s="9">
        <f t="shared" si="6"/>
        <v>14.3</v>
      </c>
      <c r="AC36" s="5">
        <f t="shared" si="7"/>
        <v>3600</v>
      </c>
      <c r="AD36" s="9">
        <f t="shared" si="8"/>
        <v>64.8</v>
      </c>
      <c r="AE36" s="9">
        <f t="shared" si="9"/>
        <v>79.1</v>
      </c>
      <c r="AF36" s="7">
        <f t="shared" si="10"/>
        <v>5030</v>
      </c>
      <c r="AG36" s="9">
        <f t="shared" si="11"/>
        <v>15.72564612</v>
      </c>
    </row>
    <row r="37" ht="15.75" customHeight="1">
      <c r="A37" s="5" t="s">
        <v>126</v>
      </c>
      <c r="B37" s="5" t="s">
        <v>34</v>
      </c>
      <c r="D37" s="5" t="s">
        <v>44</v>
      </c>
      <c r="E37" s="5" t="s">
        <v>36</v>
      </c>
      <c r="F37" s="5" t="s">
        <v>136</v>
      </c>
      <c r="H37" s="5" t="s">
        <v>137</v>
      </c>
      <c r="I37" s="5" t="s">
        <v>138</v>
      </c>
      <c r="J37" s="5" t="s">
        <v>81</v>
      </c>
      <c r="K37" s="5" t="s">
        <v>105</v>
      </c>
      <c r="L37" s="5" t="s">
        <v>42</v>
      </c>
      <c r="M37" s="5" t="s">
        <v>43</v>
      </c>
      <c r="N37" s="5">
        <f>KEY!$C$2</f>
        <v>0.65</v>
      </c>
      <c r="O37" s="5">
        <f>KEY!$D$2</f>
        <v>10</v>
      </c>
      <c r="P37" s="5">
        <f>KEY!$B$2</f>
        <v>7200</v>
      </c>
      <c r="Q37" s="5">
        <f>KEY!$E$2</f>
        <v>0.06</v>
      </c>
      <c r="R37" s="5">
        <f t="shared" si="1"/>
        <v>432</v>
      </c>
      <c r="S37" s="5">
        <f>IFERROR(VLOOKUP($L37,KEY!$A$13:$G$84,4,FALSE),0.4)</f>
        <v>0.4</v>
      </c>
      <c r="T37" s="5">
        <f t="shared" si="2"/>
        <v>172.8</v>
      </c>
      <c r="U37" s="5">
        <f t="shared" si="3"/>
        <v>5.76</v>
      </c>
      <c r="V37" s="5">
        <f t="shared" si="4"/>
        <v>3.6</v>
      </c>
      <c r="W37" s="6">
        <f>IFERROR(VLOOKUP($L37,KEY!$A$13:$G$84,7,FALSE),18)</f>
        <v>18</v>
      </c>
      <c r="X37" s="6">
        <v>10.0</v>
      </c>
      <c r="Y37" s="7">
        <v>2100.0</v>
      </c>
      <c r="Z37" s="8">
        <v>1000.0</v>
      </c>
      <c r="AA37" s="7">
        <f t="shared" si="5"/>
        <v>13650</v>
      </c>
      <c r="AB37" s="9">
        <f t="shared" si="6"/>
        <v>136.5</v>
      </c>
      <c r="AC37" s="5">
        <f t="shared" si="7"/>
        <v>3600</v>
      </c>
      <c r="AD37" s="9">
        <f t="shared" si="8"/>
        <v>64.8</v>
      </c>
      <c r="AE37" s="9">
        <f t="shared" si="9"/>
        <v>201.3</v>
      </c>
      <c r="AF37" s="7">
        <f t="shared" si="10"/>
        <v>17250</v>
      </c>
      <c r="AG37" s="9">
        <f t="shared" si="11"/>
        <v>11.66956522</v>
      </c>
    </row>
    <row r="38" ht="15.75" customHeight="1">
      <c r="A38" s="5" t="s">
        <v>126</v>
      </c>
      <c r="B38" s="5" t="s">
        <v>34</v>
      </c>
      <c r="D38" s="5" t="s">
        <v>35</v>
      </c>
      <c r="E38" s="5" t="s">
        <v>36</v>
      </c>
      <c r="F38" s="5" t="s">
        <v>139</v>
      </c>
      <c r="H38" s="5" t="s">
        <v>54</v>
      </c>
      <c r="I38" s="5" t="s">
        <v>140</v>
      </c>
      <c r="J38" s="5" t="s">
        <v>77</v>
      </c>
      <c r="K38" s="5" t="s">
        <v>71</v>
      </c>
      <c r="L38" s="5" t="s">
        <v>42</v>
      </c>
      <c r="M38" s="5" t="s">
        <v>43</v>
      </c>
      <c r="N38" s="5">
        <f>KEY!$C$2</f>
        <v>0.65</v>
      </c>
      <c r="O38" s="5">
        <f>KEY!$D$2</f>
        <v>10</v>
      </c>
      <c r="P38" s="5">
        <f>KEY!$B$2</f>
        <v>7200</v>
      </c>
      <c r="Q38" s="5">
        <f>KEY!$E$2</f>
        <v>0.06</v>
      </c>
      <c r="R38" s="5">
        <f t="shared" si="1"/>
        <v>432</v>
      </c>
      <c r="S38" s="5">
        <f>IFERROR(VLOOKUP($L38,KEY!$A$13:$G$84,4,FALSE),0.4)</f>
        <v>0.4</v>
      </c>
      <c r="T38" s="5">
        <f t="shared" si="2"/>
        <v>172.8</v>
      </c>
      <c r="U38" s="5">
        <f t="shared" si="3"/>
        <v>5.76</v>
      </c>
      <c r="V38" s="5">
        <f t="shared" si="4"/>
        <v>3.6</v>
      </c>
      <c r="W38" s="6">
        <f>IFERROR(VLOOKUP($L38,KEY!$A$13:$G$84,7,FALSE),18)</f>
        <v>18</v>
      </c>
      <c r="X38" s="6">
        <v>10.0</v>
      </c>
      <c r="Y38" s="7">
        <v>250.0</v>
      </c>
      <c r="Z38" s="8">
        <v>1000.0</v>
      </c>
      <c r="AA38" s="7">
        <f t="shared" si="5"/>
        <v>1625</v>
      </c>
      <c r="AB38" s="9">
        <f t="shared" si="6"/>
        <v>16.25</v>
      </c>
      <c r="AC38" s="5">
        <f t="shared" si="7"/>
        <v>3600</v>
      </c>
      <c r="AD38" s="9">
        <f t="shared" si="8"/>
        <v>64.8</v>
      </c>
      <c r="AE38" s="9">
        <f t="shared" si="9"/>
        <v>81.05</v>
      </c>
      <c r="AF38" s="7">
        <f t="shared" si="10"/>
        <v>5225</v>
      </c>
      <c r="AG38" s="9">
        <f t="shared" si="11"/>
        <v>15.51196172</v>
      </c>
    </row>
    <row r="39" ht="15.75" customHeight="1">
      <c r="A39" s="5" t="s">
        <v>126</v>
      </c>
      <c r="B39" s="5" t="s">
        <v>34</v>
      </c>
      <c r="D39" s="5" t="s">
        <v>44</v>
      </c>
      <c r="E39" s="5" t="s">
        <v>36</v>
      </c>
      <c r="F39" s="5" t="s">
        <v>141</v>
      </c>
      <c r="H39" s="5" t="s">
        <v>91</v>
      </c>
      <c r="I39" s="5" t="s">
        <v>142</v>
      </c>
      <c r="J39" s="5" t="s">
        <v>60</v>
      </c>
      <c r="K39" s="5" t="s">
        <v>87</v>
      </c>
      <c r="L39" s="5" t="s">
        <v>42</v>
      </c>
      <c r="M39" s="5" t="s">
        <v>43</v>
      </c>
      <c r="N39" s="5">
        <f>KEY!$C$2</f>
        <v>0.65</v>
      </c>
      <c r="O39" s="5">
        <f>KEY!$D$2</f>
        <v>10</v>
      </c>
      <c r="P39" s="5">
        <f>KEY!$B$2</f>
        <v>7200</v>
      </c>
      <c r="Q39" s="5">
        <f>KEY!$E$2</f>
        <v>0.06</v>
      </c>
      <c r="R39" s="5">
        <f t="shared" si="1"/>
        <v>432</v>
      </c>
      <c r="S39" s="5">
        <f>IFERROR(VLOOKUP($L39,KEY!$A$13:$G$84,4,FALSE),0.4)</f>
        <v>0.4</v>
      </c>
      <c r="T39" s="5">
        <f t="shared" si="2"/>
        <v>172.8</v>
      </c>
      <c r="U39" s="5">
        <f t="shared" si="3"/>
        <v>5.76</v>
      </c>
      <c r="V39" s="5">
        <f t="shared" si="4"/>
        <v>3.6</v>
      </c>
      <c r="W39" s="6">
        <f>IFERROR(VLOOKUP($L39,KEY!$A$13:$G$84,7,FALSE),18)</f>
        <v>18</v>
      </c>
      <c r="X39" s="6">
        <v>10.0</v>
      </c>
      <c r="Y39" s="7">
        <v>600.0</v>
      </c>
      <c r="Z39" s="8">
        <v>1000.0</v>
      </c>
      <c r="AA39" s="7">
        <f t="shared" si="5"/>
        <v>3900</v>
      </c>
      <c r="AB39" s="9">
        <f t="shared" si="6"/>
        <v>39</v>
      </c>
      <c r="AC39" s="5">
        <f t="shared" si="7"/>
        <v>3600</v>
      </c>
      <c r="AD39" s="9">
        <f t="shared" si="8"/>
        <v>64.8</v>
      </c>
      <c r="AE39" s="9">
        <f t="shared" si="9"/>
        <v>103.8</v>
      </c>
      <c r="AF39" s="7">
        <f t="shared" si="10"/>
        <v>7500</v>
      </c>
      <c r="AG39" s="9">
        <f t="shared" si="11"/>
        <v>13.84</v>
      </c>
    </row>
    <row r="40" ht="15.75" customHeight="1">
      <c r="A40" s="5" t="s">
        <v>126</v>
      </c>
      <c r="B40" s="5" t="s">
        <v>34</v>
      </c>
      <c r="D40" s="5" t="s">
        <v>35</v>
      </c>
      <c r="E40" s="5" t="s">
        <v>36</v>
      </c>
      <c r="F40" s="5" t="s">
        <v>143</v>
      </c>
      <c r="H40" s="5" t="s">
        <v>54</v>
      </c>
      <c r="I40" s="5" t="s">
        <v>70</v>
      </c>
      <c r="J40" s="5" t="s">
        <v>56</v>
      </c>
      <c r="K40" s="5" t="s">
        <v>41</v>
      </c>
      <c r="L40" s="5" t="s">
        <v>42</v>
      </c>
      <c r="M40" s="5" t="s">
        <v>43</v>
      </c>
      <c r="N40" s="5">
        <f>KEY!$C$2</f>
        <v>0.65</v>
      </c>
      <c r="O40" s="5">
        <f>KEY!$D$2</f>
        <v>10</v>
      </c>
      <c r="P40" s="5">
        <f>KEY!$B$2</f>
        <v>7200</v>
      </c>
      <c r="Q40" s="5">
        <f>KEY!$E$2</f>
        <v>0.06</v>
      </c>
      <c r="R40" s="5">
        <f t="shared" si="1"/>
        <v>432</v>
      </c>
      <c r="S40" s="5">
        <f>IFERROR(VLOOKUP($L40,KEY!$A$13:$G$84,4,FALSE),0.4)</f>
        <v>0.4</v>
      </c>
      <c r="T40" s="5">
        <f t="shared" si="2"/>
        <v>172.8</v>
      </c>
      <c r="U40" s="5">
        <f t="shared" si="3"/>
        <v>5.76</v>
      </c>
      <c r="V40" s="5">
        <f t="shared" si="4"/>
        <v>3.6</v>
      </c>
      <c r="W40" s="6">
        <f>IFERROR(VLOOKUP($L40,KEY!$A$13:$G$84,7,FALSE),18)</f>
        <v>18</v>
      </c>
      <c r="X40" s="6">
        <v>10.0</v>
      </c>
      <c r="Y40" s="7">
        <v>240.0</v>
      </c>
      <c r="Z40" s="8">
        <v>1000.0</v>
      </c>
      <c r="AA40" s="7">
        <f t="shared" si="5"/>
        <v>1560</v>
      </c>
      <c r="AB40" s="9">
        <f t="shared" si="6"/>
        <v>15.6</v>
      </c>
      <c r="AC40" s="5">
        <f t="shared" si="7"/>
        <v>3600</v>
      </c>
      <c r="AD40" s="9">
        <f t="shared" si="8"/>
        <v>64.8</v>
      </c>
      <c r="AE40" s="9">
        <f t="shared" si="9"/>
        <v>80.4</v>
      </c>
      <c r="AF40" s="7">
        <f t="shared" si="10"/>
        <v>5160</v>
      </c>
      <c r="AG40" s="9">
        <f t="shared" si="11"/>
        <v>15.58139535</v>
      </c>
    </row>
    <row r="41" ht="15.75" customHeight="1">
      <c r="A41" s="5" t="s">
        <v>126</v>
      </c>
      <c r="B41" s="5" t="s">
        <v>34</v>
      </c>
      <c r="D41" s="5" t="s">
        <v>44</v>
      </c>
      <c r="E41" s="5" t="s">
        <v>36</v>
      </c>
      <c r="F41" s="5" t="s">
        <v>144</v>
      </c>
      <c r="H41" s="5" t="s">
        <v>145</v>
      </c>
      <c r="I41" s="5" t="s">
        <v>80</v>
      </c>
      <c r="J41" s="5" t="s">
        <v>81</v>
      </c>
      <c r="K41" s="5" t="s">
        <v>87</v>
      </c>
      <c r="L41" s="5" t="s">
        <v>42</v>
      </c>
      <c r="M41" s="5" t="s">
        <v>43</v>
      </c>
      <c r="N41" s="5">
        <f>KEY!$C$2</f>
        <v>0.65</v>
      </c>
      <c r="O41" s="5">
        <f>KEY!$D$2</f>
        <v>10</v>
      </c>
      <c r="P41" s="5">
        <f>KEY!$B$2</f>
        <v>7200</v>
      </c>
      <c r="Q41" s="5">
        <f>KEY!$E$2</f>
        <v>0.06</v>
      </c>
      <c r="R41" s="5">
        <f t="shared" si="1"/>
        <v>432</v>
      </c>
      <c r="S41" s="5">
        <f>IFERROR(VLOOKUP($L41,KEY!$A$13:$G$84,4,FALSE),0.4)</f>
        <v>0.4</v>
      </c>
      <c r="T41" s="5">
        <f t="shared" si="2"/>
        <v>172.8</v>
      </c>
      <c r="U41" s="5">
        <f t="shared" si="3"/>
        <v>5.76</v>
      </c>
      <c r="V41" s="5">
        <f t="shared" si="4"/>
        <v>3.6</v>
      </c>
      <c r="W41" s="6">
        <f>IFERROR(VLOOKUP($L41,KEY!$A$13:$G$84,7,FALSE),18)</f>
        <v>18</v>
      </c>
      <c r="X41" s="6">
        <v>10.0</v>
      </c>
      <c r="Y41" s="7">
        <v>450.0</v>
      </c>
      <c r="Z41" s="8">
        <v>1000.0</v>
      </c>
      <c r="AA41" s="7">
        <f t="shared" si="5"/>
        <v>2925</v>
      </c>
      <c r="AB41" s="9">
        <f t="shared" si="6"/>
        <v>29.25</v>
      </c>
      <c r="AC41" s="5">
        <f t="shared" si="7"/>
        <v>3600</v>
      </c>
      <c r="AD41" s="9">
        <f t="shared" si="8"/>
        <v>64.8</v>
      </c>
      <c r="AE41" s="9">
        <f t="shared" si="9"/>
        <v>94.05</v>
      </c>
      <c r="AF41" s="7">
        <f t="shared" si="10"/>
        <v>6525</v>
      </c>
      <c r="AG41" s="9">
        <f t="shared" si="11"/>
        <v>14.4137931</v>
      </c>
    </row>
    <row r="42" ht="15.75" customHeight="1">
      <c r="A42" s="5" t="s">
        <v>126</v>
      </c>
      <c r="B42" s="5" t="s">
        <v>34</v>
      </c>
      <c r="D42" s="5" t="s">
        <v>35</v>
      </c>
      <c r="E42" s="5" t="s">
        <v>36</v>
      </c>
      <c r="F42" s="5" t="s">
        <v>146</v>
      </c>
      <c r="H42" s="5" t="s">
        <v>58</v>
      </c>
      <c r="I42" s="5" t="s">
        <v>147</v>
      </c>
      <c r="J42" s="5" t="s">
        <v>56</v>
      </c>
      <c r="K42" s="5" t="s">
        <v>71</v>
      </c>
      <c r="L42" s="5" t="s">
        <v>42</v>
      </c>
      <c r="M42" s="5" t="s">
        <v>43</v>
      </c>
      <c r="N42" s="5">
        <f>KEY!$C$2</f>
        <v>0.65</v>
      </c>
      <c r="O42" s="5">
        <f>KEY!$D$2</f>
        <v>10</v>
      </c>
      <c r="P42" s="5">
        <f>KEY!$B$2</f>
        <v>7200</v>
      </c>
      <c r="Q42" s="5">
        <f>KEY!$E$2</f>
        <v>0.06</v>
      </c>
      <c r="R42" s="5">
        <f t="shared" si="1"/>
        <v>432</v>
      </c>
      <c r="S42" s="5">
        <f>IFERROR(VLOOKUP($L42,KEY!$A$13:$G$84,4,FALSE),0.4)</f>
        <v>0.4</v>
      </c>
      <c r="T42" s="5">
        <f t="shared" si="2"/>
        <v>172.8</v>
      </c>
      <c r="U42" s="5">
        <f t="shared" si="3"/>
        <v>5.76</v>
      </c>
      <c r="V42" s="5">
        <f t="shared" si="4"/>
        <v>3.6</v>
      </c>
      <c r="W42" s="6">
        <f>IFERROR(VLOOKUP($L42,KEY!$A$13:$G$84,7,FALSE),18)</f>
        <v>18</v>
      </c>
      <c r="X42" s="6">
        <v>10.0</v>
      </c>
      <c r="Y42" s="7">
        <v>200.0</v>
      </c>
      <c r="Z42" s="8">
        <v>1000.0</v>
      </c>
      <c r="AA42" s="7">
        <f t="shared" si="5"/>
        <v>1300</v>
      </c>
      <c r="AB42" s="9">
        <f t="shared" si="6"/>
        <v>13</v>
      </c>
      <c r="AC42" s="5">
        <f t="shared" si="7"/>
        <v>3600</v>
      </c>
      <c r="AD42" s="9">
        <f t="shared" si="8"/>
        <v>64.8</v>
      </c>
      <c r="AE42" s="9">
        <f t="shared" si="9"/>
        <v>77.8</v>
      </c>
      <c r="AF42" s="7">
        <f t="shared" si="10"/>
        <v>4900</v>
      </c>
      <c r="AG42" s="9">
        <f t="shared" si="11"/>
        <v>15.87755102</v>
      </c>
    </row>
    <row r="43" ht="15.75" customHeight="1">
      <c r="A43" s="5" t="s">
        <v>126</v>
      </c>
      <c r="B43" s="5" t="s">
        <v>34</v>
      </c>
      <c r="D43" s="5" t="s">
        <v>35</v>
      </c>
      <c r="E43" s="5" t="s">
        <v>36</v>
      </c>
      <c r="F43" s="5" t="s">
        <v>148</v>
      </c>
      <c r="H43" s="5" t="s">
        <v>129</v>
      </c>
      <c r="I43" s="5" t="s">
        <v>149</v>
      </c>
      <c r="J43" s="5" t="s">
        <v>40</v>
      </c>
      <c r="K43" s="5" t="s">
        <v>41</v>
      </c>
      <c r="L43" s="5" t="s">
        <v>42</v>
      </c>
      <c r="M43" s="5" t="s">
        <v>43</v>
      </c>
      <c r="N43" s="5">
        <f>KEY!$C$2</f>
        <v>0.65</v>
      </c>
      <c r="O43" s="5">
        <f>KEY!$D$2</f>
        <v>10</v>
      </c>
      <c r="P43" s="5">
        <f>KEY!$B$2</f>
        <v>7200</v>
      </c>
      <c r="Q43" s="5">
        <f>KEY!$E$2</f>
        <v>0.06</v>
      </c>
      <c r="R43" s="5">
        <f t="shared" si="1"/>
        <v>432</v>
      </c>
      <c r="S43" s="5">
        <f>IFERROR(VLOOKUP($L43,KEY!$A$13:$G$84,4,FALSE),0.4)</f>
        <v>0.4</v>
      </c>
      <c r="T43" s="5">
        <f t="shared" si="2"/>
        <v>172.8</v>
      </c>
      <c r="U43" s="5">
        <f t="shared" si="3"/>
        <v>5.76</v>
      </c>
      <c r="V43" s="5">
        <f t="shared" si="4"/>
        <v>3.6</v>
      </c>
      <c r="W43" s="6">
        <f>IFERROR(VLOOKUP($L43,KEY!$A$13:$G$84,7,FALSE),18)</f>
        <v>18</v>
      </c>
      <c r="X43" s="6">
        <v>10.0</v>
      </c>
      <c r="Y43" s="7">
        <v>310.0</v>
      </c>
      <c r="Z43" s="8">
        <v>1000.0</v>
      </c>
      <c r="AA43" s="7">
        <f t="shared" si="5"/>
        <v>2015</v>
      </c>
      <c r="AB43" s="9">
        <f t="shared" si="6"/>
        <v>20.15</v>
      </c>
      <c r="AC43" s="5">
        <f t="shared" si="7"/>
        <v>3600</v>
      </c>
      <c r="AD43" s="9">
        <f t="shared" si="8"/>
        <v>64.8</v>
      </c>
      <c r="AE43" s="9">
        <f t="shared" si="9"/>
        <v>84.95</v>
      </c>
      <c r="AF43" s="7">
        <f t="shared" si="10"/>
        <v>5615</v>
      </c>
      <c r="AG43" s="9">
        <f t="shared" si="11"/>
        <v>15.12911843</v>
      </c>
    </row>
    <row r="44" ht="15.75" customHeight="1">
      <c r="A44" s="5" t="s">
        <v>126</v>
      </c>
      <c r="B44" s="5" t="s">
        <v>34</v>
      </c>
      <c r="D44" s="5" t="s">
        <v>44</v>
      </c>
      <c r="E44" s="5" t="s">
        <v>36</v>
      </c>
      <c r="F44" s="5" t="s">
        <v>90</v>
      </c>
      <c r="H44" s="5" t="s">
        <v>91</v>
      </c>
      <c r="I44" s="5" t="s">
        <v>150</v>
      </c>
      <c r="J44" s="5" t="s">
        <v>67</v>
      </c>
      <c r="K44" s="5" t="s">
        <v>41</v>
      </c>
      <c r="L44" s="5" t="s">
        <v>42</v>
      </c>
      <c r="M44" s="5" t="s">
        <v>43</v>
      </c>
      <c r="N44" s="5">
        <f>KEY!$C$2</f>
        <v>0.65</v>
      </c>
      <c r="O44" s="5">
        <f>KEY!$D$2</f>
        <v>10</v>
      </c>
      <c r="P44" s="5">
        <f>KEY!$B$2</f>
        <v>7200</v>
      </c>
      <c r="Q44" s="5">
        <f>KEY!$E$2</f>
        <v>0.06</v>
      </c>
      <c r="R44" s="5">
        <f t="shared" si="1"/>
        <v>432</v>
      </c>
      <c r="S44" s="5">
        <f>IFERROR(VLOOKUP($L44,KEY!$A$13:$G$84,4,FALSE),0.4)</f>
        <v>0.4</v>
      </c>
      <c r="T44" s="5">
        <f t="shared" si="2"/>
        <v>172.8</v>
      </c>
      <c r="U44" s="5">
        <f t="shared" si="3"/>
        <v>5.76</v>
      </c>
      <c r="V44" s="5">
        <f t="shared" si="4"/>
        <v>3.6</v>
      </c>
      <c r="W44" s="6">
        <f>IFERROR(VLOOKUP($L44,KEY!$A$13:$G$84,7,FALSE),18)</f>
        <v>18</v>
      </c>
      <c r="X44" s="6">
        <v>10.0</v>
      </c>
      <c r="Y44" s="7">
        <v>380.0</v>
      </c>
      <c r="Z44" s="8">
        <v>1000.0</v>
      </c>
      <c r="AA44" s="7">
        <f t="shared" si="5"/>
        <v>2470</v>
      </c>
      <c r="AB44" s="9">
        <f t="shared" si="6"/>
        <v>24.7</v>
      </c>
      <c r="AC44" s="5">
        <f t="shared" si="7"/>
        <v>3600</v>
      </c>
      <c r="AD44" s="9">
        <f t="shared" si="8"/>
        <v>64.8</v>
      </c>
      <c r="AE44" s="9">
        <f t="shared" si="9"/>
        <v>89.5</v>
      </c>
      <c r="AF44" s="7">
        <f t="shared" si="10"/>
        <v>6070</v>
      </c>
      <c r="AG44" s="9">
        <f t="shared" si="11"/>
        <v>14.7446458</v>
      </c>
    </row>
    <row r="45" ht="15.75" customHeight="1">
      <c r="A45" s="5" t="s">
        <v>126</v>
      </c>
      <c r="B45" s="5" t="s">
        <v>34</v>
      </c>
      <c r="D45" s="5" t="s">
        <v>44</v>
      </c>
      <c r="E45" s="5" t="s">
        <v>36</v>
      </c>
      <c r="F45" s="5" t="s">
        <v>151</v>
      </c>
      <c r="H45" s="5" t="s">
        <v>91</v>
      </c>
      <c r="I45" s="5" t="s">
        <v>152</v>
      </c>
      <c r="J45" s="5" t="s">
        <v>40</v>
      </c>
      <c r="K45" s="5" t="s">
        <v>41</v>
      </c>
      <c r="L45" s="5" t="s">
        <v>42</v>
      </c>
      <c r="M45" s="5" t="s">
        <v>43</v>
      </c>
      <c r="N45" s="5">
        <f>KEY!$C$2</f>
        <v>0.65</v>
      </c>
      <c r="O45" s="5">
        <f>KEY!$D$2</f>
        <v>10</v>
      </c>
      <c r="P45" s="5">
        <f>KEY!$B$2</f>
        <v>7200</v>
      </c>
      <c r="Q45" s="5">
        <f>KEY!$E$2</f>
        <v>0.06</v>
      </c>
      <c r="R45" s="5">
        <f t="shared" si="1"/>
        <v>432</v>
      </c>
      <c r="S45" s="5">
        <f>IFERROR(VLOOKUP($L45,KEY!$A$13:$G$84,4,FALSE),0.4)</f>
        <v>0.4</v>
      </c>
      <c r="T45" s="5">
        <f t="shared" si="2"/>
        <v>172.8</v>
      </c>
      <c r="U45" s="5">
        <f t="shared" si="3"/>
        <v>5.76</v>
      </c>
      <c r="V45" s="5">
        <f t="shared" si="4"/>
        <v>3.6</v>
      </c>
      <c r="W45" s="6">
        <f>IFERROR(VLOOKUP($L45,KEY!$A$13:$G$84,7,FALSE),18)</f>
        <v>18</v>
      </c>
      <c r="X45" s="6">
        <v>10.0</v>
      </c>
      <c r="Y45" s="7">
        <v>550.0</v>
      </c>
      <c r="Z45" s="8">
        <v>1000.0</v>
      </c>
      <c r="AA45" s="7">
        <f t="shared" si="5"/>
        <v>3575</v>
      </c>
      <c r="AB45" s="9">
        <f t="shared" si="6"/>
        <v>35.75</v>
      </c>
      <c r="AC45" s="5">
        <f t="shared" si="7"/>
        <v>3600</v>
      </c>
      <c r="AD45" s="9">
        <f t="shared" si="8"/>
        <v>64.8</v>
      </c>
      <c r="AE45" s="9">
        <f t="shared" si="9"/>
        <v>100.55</v>
      </c>
      <c r="AF45" s="7">
        <f t="shared" si="10"/>
        <v>7175</v>
      </c>
      <c r="AG45" s="9">
        <f t="shared" si="11"/>
        <v>14.01393728</v>
      </c>
    </row>
    <row r="46" ht="15.75" customHeight="1">
      <c r="A46" s="5" t="s">
        <v>126</v>
      </c>
      <c r="B46" s="5" t="s">
        <v>34</v>
      </c>
      <c r="D46" s="5" t="s">
        <v>35</v>
      </c>
      <c r="E46" s="5" t="s">
        <v>100</v>
      </c>
      <c r="F46" s="5" t="s">
        <v>120</v>
      </c>
      <c r="H46" s="5" t="s">
        <v>100</v>
      </c>
      <c r="I46" s="5" t="s">
        <v>153</v>
      </c>
      <c r="J46" s="5" t="s">
        <v>67</v>
      </c>
      <c r="K46" s="5" t="s">
        <v>71</v>
      </c>
      <c r="L46" s="5" t="s">
        <v>42</v>
      </c>
      <c r="M46" s="5" t="s">
        <v>43</v>
      </c>
      <c r="N46" s="5">
        <f>KEY!$C$2</f>
        <v>0.65</v>
      </c>
      <c r="O46" s="5">
        <f>KEY!$D$2</f>
        <v>10</v>
      </c>
      <c r="P46" s="5">
        <f>KEY!$B$2</f>
        <v>7200</v>
      </c>
      <c r="Q46" s="5">
        <f>KEY!$E$2</f>
        <v>0.06</v>
      </c>
      <c r="R46" s="5">
        <f t="shared" si="1"/>
        <v>432</v>
      </c>
      <c r="S46" s="5">
        <f>IFERROR(VLOOKUP($L46,KEY!$A$13:$G$84,4,FALSE),0.4)</f>
        <v>0.4</v>
      </c>
      <c r="T46" s="5">
        <f t="shared" si="2"/>
        <v>172.8</v>
      </c>
      <c r="U46" s="5">
        <f t="shared" si="3"/>
        <v>5.76</v>
      </c>
      <c r="V46" s="5">
        <f t="shared" si="4"/>
        <v>3.6</v>
      </c>
      <c r="W46" s="6">
        <f>IFERROR(VLOOKUP($L46,KEY!$A$13:$G$84,7,FALSE),18)</f>
        <v>18</v>
      </c>
      <c r="X46" s="6">
        <v>10.0</v>
      </c>
      <c r="Y46" s="7">
        <v>270.0</v>
      </c>
      <c r="Z46" s="8">
        <v>1000.0</v>
      </c>
      <c r="AA46" s="7">
        <f t="shared" si="5"/>
        <v>1755</v>
      </c>
      <c r="AB46" s="9">
        <f t="shared" si="6"/>
        <v>17.55</v>
      </c>
      <c r="AC46" s="5">
        <f t="shared" si="7"/>
        <v>3600</v>
      </c>
      <c r="AD46" s="9">
        <f t="shared" si="8"/>
        <v>64.8</v>
      </c>
      <c r="AE46" s="9">
        <f t="shared" si="9"/>
        <v>82.35</v>
      </c>
      <c r="AF46" s="7">
        <f t="shared" si="10"/>
        <v>5355</v>
      </c>
      <c r="AG46" s="9">
        <f t="shared" si="11"/>
        <v>15.37815126</v>
      </c>
    </row>
    <row r="47" ht="15.75" customHeight="1">
      <c r="A47" s="5" t="s">
        <v>126</v>
      </c>
      <c r="B47" s="5" t="s">
        <v>34</v>
      </c>
      <c r="D47" s="5" t="s">
        <v>44</v>
      </c>
      <c r="E47" s="5" t="s">
        <v>100</v>
      </c>
      <c r="F47" s="5" t="s">
        <v>101</v>
      </c>
      <c r="H47" s="5" t="s">
        <v>100</v>
      </c>
      <c r="I47" s="5" t="s">
        <v>102</v>
      </c>
      <c r="J47" s="5" t="s">
        <v>67</v>
      </c>
      <c r="K47" s="5" t="s">
        <v>154</v>
      </c>
      <c r="L47" s="5" t="s">
        <v>42</v>
      </c>
      <c r="M47" s="5" t="s">
        <v>43</v>
      </c>
      <c r="N47" s="5">
        <f>KEY!$C$2</f>
        <v>0.65</v>
      </c>
      <c r="O47" s="5">
        <f>KEY!$D$2</f>
        <v>10</v>
      </c>
      <c r="P47" s="5">
        <f>KEY!$B$2</f>
        <v>7200</v>
      </c>
      <c r="Q47" s="5">
        <f>KEY!$E$2</f>
        <v>0.06</v>
      </c>
      <c r="R47" s="5">
        <f t="shared" si="1"/>
        <v>432</v>
      </c>
      <c r="S47" s="5">
        <f>IFERROR(VLOOKUP($L47,KEY!$A$13:$G$84,4,FALSE),0.4)</f>
        <v>0.4</v>
      </c>
      <c r="T47" s="5">
        <f t="shared" si="2"/>
        <v>172.8</v>
      </c>
      <c r="U47" s="5">
        <f t="shared" si="3"/>
        <v>5.76</v>
      </c>
      <c r="V47" s="5">
        <f t="shared" si="4"/>
        <v>3.6</v>
      </c>
      <c r="W47" s="6">
        <f>IFERROR(VLOOKUP($L47,KEY!$A$13:$G$84,7,FALSE),18)</f>
        <v>18</v>
      </c>
      <c r="X47" s="6">
        <v>10.0</v>
      </c>
      <c r="Y47" s="7">
        <v>600.0</v>
      </c>
      <c r="Z47" s="8">
        <v>1000.0</v>
      </c>
      <c r="AA47" s="7">
        <f t="shared" si="5"/>
        <v>3900</v>
      </c>
      <c r="AB47" s="9">
        <f t="shared" si="6"/>
        <v>39</v>
      </c>
      <c r="AC47" s="5">
        <f t="shared" si="7"/>
        <v>3600</v>
      </c>
      <c r="AD47" s="9">
        <f t="shared" si="8"/>
        <v>64.8</v>
      </c>
      <c r="AE47" s="9">
        <f t="shared" si="9"/>
        <v>103.8</v>
      </c>
      <c r="AF47" s="7">
        <f t="shared" si="10"/>
        <v>7500</v>
      </c>
      <c r="AG47" s="9">
        <f t="shared" si="11"/>
        <v>13.84</v>
      </c>
    </row>
    <row r="48" ht="15.75" customHeight="1">
      <c r="A48" s="5" t="s">
        <v>126</v>
      </c>
      <c r="B48" s="5" t="s">
        <v>34</v>
      </c>
      <c r="D48" s="5" t="s">
        <v>35</v>
      </c>
      <c r="E48" s="5" t="s">
        <v>100</v>
      </c>
      <c r="F48" s="5" t="s">
        <v>103</v>
      </c>
      <c r="H48" s="5" t="s">
        <v>100</v>
      </c>
      <c r="I48" s="5" t="s">
        <v>104</v>
      </c>
      <c r="J48" s="5" t="s">
        <v>60</v>
      </c>
      <c r="K48" s="5" t="s">
        <v>105</v>
      </c>
      <c r="L48" s="5" t="s">
        <v>42</v>
      </c>
      <c r="M48" s="5" t="s">
        <v>43</v>
      </c>
      <c r="N48" s="5">
        <f>KEY!$C$2</f>
        <v>0.65</v>
      </c>
      <c r="O48" s="5">
        <f>KEY!$D$2</f>
        <v>10</v>
      </c>
      <c r="P48" s="5">
        <f>KEY!$B$2</f>
        <v>7200</v>
      </c>
      <c r="Q48" s="5">
        <f>KEY!$E$2</f>
        <v>0.06</v>
      </c>
      <c r="R48" s="5">
        <f t="shared" si="1"/>
        <v>432</v>
      </c>
      <c r="S48" s="5">
        <f>IFERROR(VLOOKUP($L48,KEY!$A$13:$G$84,4,FALSE),0.4)</f>
        <v>0.4</v>
      </c>
      <c r="T48" s="5">
        <f t="shared" si="2"/>
        <v>172.8</v>
      </c>
      <c r="U48" s="5">
        <f t="shared" si="3"/>
        <v>5.76</v>
      </c>
      <c r="V48" s="5">
        <f t="shared" si="4"/>
        <v>3.6</v>
      </c>
      <c r="W48" s="6">
        <f>IFERROR(VLOOKUP($L48,KEY!$A$13:$G$84,7,FALSE),18)</f>
        <v>18</v>
      </c>
      <c r="X48" s="6">
        <v>10.0</v>
      </c>
      <c r="Y48" s="7">
        <v>260.0</v>
      </c>
      <c r="Z48" s="8">
        <v>1000.0</v>
      </c>
      <c r="AA48" s="7">
        <f t="shared" si="5"/>
        <v>1690</v>
      </c>
      <c r="AB48" s="9">
        <f t="shared" si="6"/>
        <v>16.9</v>
      </c>
      <c r="AC48" s="5">
        <f t="shared" si="7"/>
        <v>3600</v>
      </c>
      <c r="AD48" s="9">
        <f t="shared" si="8"/>
        <v>64.8</v>
      </c>
      <c r="AE48" s="9">
        <f t="shared" si="9"/>
        <v>81.7</v>
      </c>
      <c r="AF48" s="7">
        <f t="shared" si="10"/>
        <v>5290</v>
      </c>
      <c r="AG48" s="9">
        <f t="shared" si="11"/>
        <v>15.4442344</v>
      </c>
    </row>
    <row r="49" ht="15.75" customHeight="1">
      <c r="A49" s="5" t="s">
        <v>126</v>
      </c>
      <c r="B49" s="5" t="s">
        <v>34</v>
      </c>
      <c r="D49" s="5" t="s">
        <v>44</v>
      </c>
      <c r="E49" s="5" t="s">
        <v>100</v>
      </c>
      <c r="F49" s="5" t="s">
        <v>106</v>
      </c>
      <c r="H49" s="5" t="s">
        <v>100</v>
      </c>
      <c r="I49" s="5" t="s">
        <v>107</v>
      </c>
      <c r="J49" s="5" t="s">
        <v>67</v>
      </c>
      <c r="K49" s="5" t="s">
        <v>71</v>
      </c>
      <c r="L49" s="5" t="s">
        <v>42</v>
      </c>
      <c r="M49" s="5" t="s">
        <v>43</v>
      </c>
      <c r="N49" s="5">
        <f>KEY!$C$2</f>
        <v>0.65</v>
      </c>
      <c r="O49" s="5">
        <f>KEY!$D$2</f>
        <v>10</v>
      </c>
      <c r="P49" s="5">
        <f>KEY!$B$2</f>
        <v>7200</v>
      </c>
      <c r="Q49" s="5">
        <f>KEY!$E$2</f>
        <v>0.06</v>
      </c>
      <c r="R49" s="5">
        <f t="shared" si="1"/>
        <v>432</v>
      </c>
      <c r="S49" s="5">
        <f>IFERROR(VLOOKUP($L49,KEY!$A$13:$G$84,4,FALSE),0.4)</f>
        <v>0.4</v>
      </c>
      <c r="T49" s="5">
        <f t="shared" si="2"/>
        <v>172.8</v>
      </c>
      <c r="U49" s="5">
        <f t="shared" si="3"/>
        <v>5.76</v>
      </c>
      <c r="V49" s="5">
        <f t="shared" si="4"/>
        <v>3.6</v>
      </c>
      <c r="W49" s="6">
        <f>IFERROR(VLOOKUP($L49,KEY!$A$13:$G$84,7,FALSE),18)</f>
        <v>18</v>
      </c>
      <c r="X49" s="6">
        <v>10.0</v>
      </c>
      <c r="Y49" s="7">
        <v>1200.0</v>
      </c>
      <c r="Z49" s="8">
        <v>1000.0</v>
      </c>
      <c r="AA49" s="7">
        <f t="shared" si="5"/>
        <v>7800</v>
      </c>
      <c r="AB49" s="9">
        <f t="shared" si="6"/>
        <v>78</v>
      </c>
      <c r="AC49" s="5">
        <f t="shared" si="7"/>
        <v>3600</v>
      </c>
      <c r="AD49" s="9">
        <f t="shared" si="8"/>
        <v>64.8</v>
      </c>
      <c r="AE49" s="9">
        <f t="shared" si="9"/>
        <v>142.8</v>
      </c>
      <c r="AF49" s="7">
        <f t="shared" si="10"/>
        <v>11400</v>
      </c>
      <c r="AG49" s="9">
        <f t="shared" si="11"/>
        <v>12.52631579</v>
      </c>
    </row>
    <row r="50" ht="15.75" customHeight="1">
      <c r="A50" s="5" t="s">
        <v>126</v>
      </c>
      <c r="B50" s="5" t="s">
        <v>34</v>
      </c>
      <c r="D50" s="5" t="s">
        <v>44</v>
      </c>
      <c r="E50" s="5" t="s">
        <v>100</v>
      </c>
      <c r="F50" s="5" t="s">
        <v>108</v>
      </c>
      <c r="H50" s="5" t="s">
        <v>100</v>
      </c>
      <c r="I50" s="5" t="s">
        <v>109</v>
      </c>
      <c r="J50" s="5" t="s">
        <v>60</v>
      </c>
      <c r="K50" s="5" t="s">
        <v>71</v>
      </c>
      <c r="L50" s="5" t="s">
        <v>42</v>
      </c>
      <c r="M50" s="5" t="s">
        <v>43</v>
      </c>
      <c r="N50" s="5">
        <f>KEY!$C$2</f>
        <v>0.65</v>
      </c>
      <c r="O50" s="5">
        <f>KEY!$D$2</f>
        <v>10</v>
      </c>
      <c r="P50" s="5">
        <f>KEY!$B$2</f>
        <v>7200</v>
      </c>
      <c r="Q50" s="5">
        <f>KEY!$E$2</f>
        <v>0.06</v>
      </c>
      <c r="R50" s="5">
        <f t="shared" si="1"/>
        <v>432</v>
      </c>
      <c r="S50" s="5">
        <f>IFERROR(VLOOKUP($L50,KEY!$A$13:$G$84,4,FALSE),0.4)</f>
        <v>0.4</v>
      </c>
      <c r="T50" s="5">
        <f t="shared" si="2"/>
        <v>172.8</v>
      </c>
      <c r="U50" s="5">
        <f t="shared" si="3"/>
        <v>5.76</v>
      </c>
      <c r="V50" s="5">
        <f t="shared" si="4"/>
        <v>3.6</v>
      </c>
      <c r="W50" s="6">
        <f>IFERROR(VLOOKUP($L50,KEY!$A$13:$G$84,7,FALSE),18)</f>
        <v>18</v>
      </c>
      <c r="X50" s="6">
        <v>10.0</v>
      </c>
      <c r="Y50" s="7">
        <v>800.0</v>
      </c>
      <c r="Z50" s="8">
        <v>1000.0</v>
      </c>
      <c r="AA50" s="7">
        <f t="shared" si="5"/>
        <v>5200</v>
      </c>
      <c r="AB50" s="9">
        <f t="shared" si="6"/>
        <v>52</v>
      </c>
      <c r="AC50" s="5">
        <f t="shared" si="7"/>
        <v>3600</v>
      </c>
      <c r="AD50" s="9">
        <f t="shared" si="8"/>
        <v>64.8</v>
      </c>
      <c r="AE50" s="9">
        <f t="shared" si="9"/>
        <v>116.8</v>
      </c>
      <c r="AF50" s="7">
        <f t="shared" si="10"/>
        <v>8800</v>
      </c>
      <c r="AG50" s="9">
        <f t="shared" si="11"/>
        <v>13.27272727</v>
      </c>
    </row>
    <row r="51" ht="15.75" customHeight="1">
      <c r="A51" s="5" t="s">
        <v>126</v>
      </c>
      <c r="B51" s="5" t="s">
        <v>34</v>
      </c>
      <c r="D51" s="5" t="s">
        <v>35</v>
      </c>
      <c r="E51" s="5" t="s">
        <v>100</v>
      </c>
      <c r="F51" s="5" t="s">
        <v>110</v>
      </c>
      <c r="H51" s="5" t="s">
        <v>100</v>
      </c>
      <c r="I51" s="5" t="s">
        <v>111</v>
      </c>
      <c r="J51" s="5" t="s">
        <v>67</v>
      </c>
      <c r="K51" s="5" t="s">
        <v>71</v>
      </c>
      <c r="L51" s="5" t="s">
        <v>42</v>
      </c>
      <c r="M51" s="5" t="s">
        <v>43</v>
      </c>
      <c r="N51" s="5">
        <f>KEY!$C$2</f>
        <v>0.65</v>
      </c>
      <c r="O51" s="5">
        <f>KEY!$D$2</f>
        <v>10</v>
      </c>
      <c r="P51" s="5">
        <f>KEY!$B$2</f>
        <v>7200</v>
      </c>
      <c r="Q51" s="5">
        <f>KEY!$E$2</f>
        <v>0.06</v>
      </c>
      <c r="R51" s="5">
        <f t="shared" si="1"/>
        <v>432</v>
      </c>
      <c r="S51" s="5">
        <f>IFERROR(VLOOKUP($L51,KEY!$A$13:$G$84,4,FALSE),0.4)</f>
        <v>0.4</v>
      </c>
      <c r="T51" s="5">
        <f t="shared" si="2"/>
        <v>172.8</v>
      </c>
      <c r="U51" s="5">
        <f t="shared" si="3"/>
        <v>5.76</v>
      </c>
      <c r="V51" s="5">
        <f t="shared" si="4"/>
        <v>3.6</v>
      </c>
      <c r="W51" s="6">
        <f>IFERROR(VLOOKUP($L51,KEY!$A$13:$G$84,7,FALSE),18)</f>
        <v>18</v>
      </c>
      <c r="X51" s="6">
        <v>10.0</v>
      </c>
      <c r="Y51" s="7">
        <v>290.0</v>
      </c>
      <c r="Z51" s="8">
        <v>1000.0</v>
      </c>
      <c r="AA51" s="7">
        <f t="shared" si="5"/>
        <v>1885</v>
      </c>
      <c r="AB51" s="9">
        <f t="shared" si="6"/>
        <v>18.85</v>
      </c>
      <c r="AC51" s="5">
        <f t="shared" si="7"/>
        <v>3600</v>
      </c>
      <c r="AD51" s="9">
        <f t="shared" si="8"/>
        <v>64.8</v>
      </c>
      <c r="AE51" s="9">
        <f t="shared" si="9"/>
        <v>83.65</v>
      </c>
      <c r="AF51" s="7">
        <f t="shared" si="10"/>
        <v>5485</v>
      </c>
      <c r="AG51" s="9">
        <f t="shared" si="11"/>
        <v>15.25068368</v>
      </c>
    </row>
    <row r="52" ht="15.75" customHeight="1">
      <c r="A52" s="5" t="s">
        <v>126</v>
      </c>
      <c r="B52" s="5" t="s">
        <v>34</v>
      </c>
      <c r="D52" s="5" t="s">
        <v>35</v>
      </c>
      <c r="E52" s="5" t="s">
        <v>100</v>
      </c>
      <c r="F52" s="5" t="s">
        <v>112</v>
      </c>
      <c r="H52" s="5" t="s">
        <v>100</v>
      </c>
      <c r="I52" s="5" t="s">
        <v>113</v>
      </c>
      <c r="J52" s="5" t="s">
        <v>60</v>
      </c>
      <c r="K52" s="5" t="s">
        <v>105</v>
      </c>
      <c r="L52" s="5" t="s">
        <v>42</v>
      </c>
      <c r="M52" s="5" t="s">
        <v>43</v>
      </c>
      <c r="N52" s="5">
        <f>KEY!$C$2</f>
        <v>0.65</v>
      </c>
      <c r="O52" s="5">
        <f>KEY!$D$2</f>
        <v>10</v>
      </c>
      <c r="P52" s="5">
        <f>KEY!$B$2</f>
        <v>7200</v>
      </c>
      <c r="Q52" s="5">
        <f>KEY!$E$2</f>
        <v>0.06</v>
      </c>
      <c r="R52" s="5">
        <f t="shared" si="1"/>
        <v>432</v>
      </c>
      <c r="S52" s="5">
        <f>IFERROR(VLOOKUP($L52,KEY!$A$13:$G$84,4,FALSE),0.4)</f>
        <v>0.4</v>
      </c>
      <c r="T52" s="5">
        <f t="shared" si="2"/>
        <v>172.8</v>
      </c>
      <c r="U52" s="5">
        <f t="shared" si="3"/>
        <v>5.76</v>
      </c>
      <c r="V52" s="5">
        <f t="shared" si="4"/>
        <v>3.6</v>
      </c>
      <c r="W52" s="6">
        <f>IFERROR(VLOOKUP($L52,KEY!$A$13:$G$84,7,FALSE),18)</f>
        <v>18</v>
      </c>
      <c r="X52" s="6">
        <v>10.0</v>
      </c>
      <c r="Y52" s="7">
        <v>255.0</v>
      </c>
      <c r="Z52" s="8">
        <v>1000.0</v>
      </c>
      <c r="AA52" s="7">
        <f t="shared" si="5"/>
        <v>1657.5</v>
      </c>
      <c r="AB52" s="9">
        <f t="shared" si="6"/>
        <v>16.575</v>
      </c>
      <c r="AC52" s="5">
        <f t="shared" si="7"/>
        <v>3600</v>
      </c>
      <c r="AD52" s="9">
        <f t="shared" si="8"/>
        <v>64.8</v>
      </c>
      <c r="AE52" s="9">
        <f t="shared" si="9"/>
        <v>81.375</v>
      </c>
      <c r="AF52" s="7">
        <f t="shared" si="10"/>
        <v>5257.5</v>
      </c>
      <c r="AG52" s="9">
        <f t="shared" si="11"/>
        <v>15.47788873</v>
      </c>
    </row>
    <row r="53" ht="15.75" customHeight="1">
      <c r="A53" s="5" t="s">
        <v>126</v>
      </c>
      <c r="B53" s="5" t="s">
        <v>34</v>
      </c>
      <c r="D53" s="5" t="s">
        <v>44</v>
      </c>
      <c r="E53" s="5" t="s">
        <v>100</v>
      </c>
      <c r="F53" s="5" t="s">
        <v>103</v>
      </c>
      <c r="H53" s="5" t="s">
        <v>100</v>
      </c>
      <c r="I53" s="5" t="s">
        <v>114</v>
      </c>
      <c r="J53" s="5" t="s">
        <v>67</v>
      </c>
      <c r="K53" s="5" t="s">
        <v>61</v>
      </c>
      <c r="L53" s="5" t="s">
        <v>42</v>
      </c>
      <c r="M53" s="5" t="s">
        <v>43</v>
      </c>
      <c r="N53" s="5">
        <f>KEY!$C$2</f>
        <v>0.65</v>
      </c>
      <c r="O53" s="5">
        <f>KEY!$D$2</f>
        <v>10</v>
      </c>
      <c r="P53" s="5">
        <f>KEY!$B$2</f>
        <v>7200</v>
      </c>
      <c r="Q53" s="5">
        <f>KEY!$E$2</f>
        <v>0.06</v>
      </c>
      <c r="R53" s="5">
        <f t="shared" si="1"/>
        <v>432</v>
      </c>
      <c r="S53" s="5">
        <f>IFERROR(VLOOKUP($L53,KEY!$A$13:$G$84,4,FALSE),0.4)</f>
        <v>0.4</v>
      </c>
      <c r="T53" s="5">
        <f t="shared" si="2"/>
        <v>172.8</v>
      </c>
      <c r="U53" s="5">
        <f t="shared" si="3"/>
        <v>5.76</v>
      </c>
      <c r="V53" s="5">
        <f t="shared" si="4"/>
        <v>3.6</v>
      </c>
      <c r="W53" s="6">
        <f>IFERROR(VLOOKUP($L53,KEY!$A$13:$G$84,7,FALSE),18)</f>
        <v>18</v>
      </c>
      <c r="X53" s="6">
        <v>10.0</v>
      </c>
      <c r="Y53" s="7">
        <v>650.0</v>
      </c>
      <c r="Z53" s="8">
        <v>1000.0</v>
      </c>
      <c r="AA53" s="7">
        <f t="shared" si="5"/>
        <v>4225</v>
      </c>
      <c r="AB53" s="9">
        <f t="shared" si="6"/>
        <v>42.25</v>
      </c>
      <c r="AC53" s="5">
        <f t="shared" si="7"/>
        <v>3600</v>
      </c>
      <c r="AD53" s="9">
        <f t="shared" si="8"/>
        <v>64.8</v>
      </c>
      <c r="AE53" s="9">
        <f t="shared" si="9"/>
        <v>107.05</v>
      </c>
      <c r="AF53" s="7">
        <f t="shared" si="10"/>
        <v>7825</v>
      </c>
      <c r="AG53" s="9">
        <f t="shared" si="11"/>
        <v>13.68051118</v>
      </c>
    </row>
    <row r="54" ht="15.75" customHeight="1">
      <c r="A54" s="5" t="s">
        <v>126</v>
      </c>
      <c r="B54" s="5" t="s">
        <v>34</v>
      </c>
      <c r="D54" s="5" t="s">
        <v>44</v>
      </c>
      <c r="E54" s="5" t="s">
        <v>100</v>
      </c>
      <c r="F54" s="5" t="s">
        <v>115</v>
      </c>
      <c r="H54" s="5" t="s">
        <v>100</v>
      </c>
      <c r="I54" s="5" t="s">
        <v>116</v>
      </c>
      <c r="J54" s="5" t="s">
        <v>60</v>
      </c>
      <c r="K54" s="5" t="s">
        <v>87</v>
      </c>
      <c r="L54" s="5" t="s">
        <v>42</v>
      </c>
      <c r="M54" s="5" t="s">
        <v>43</v>
      </c>
      <c r="N54" s="5">
        <f>KEY!$C$2</f>
        <v>0.65</v>
      </c>
      <c r="O54" s="5">
        <f>KEY!$D$2</f>
        <v>10</v>
      </c>
      <c r="P54" s="5">
        <f>KEY!$B$2</f>
        <v>7200</v>
      </c>
      <c r="Q54" s="5">
        <f>KEY!$E$2</f>
        <v>0.06</v>
      </c>
      <c r="R54" s="5">
        <f t="shared" si="1"/>
        <v>432</v>
      </c>
      <c r="S54" s="5">
        <f>IFERROR(VLOOKUP($L54,KEY!$A$13:$G$84,4,FALSE),0.4)</f>
        <v>0.4</v>
      </c>
      <c r="T54" s="5">
        <f t="shared" si="2"/>
        <v>172.8</v>
      </c>
      <c r="U54" s="5">
        <f t="shared" si="3"/>
        <v>5.76</v>
      </c>
      <c r="V54" s="5">
        <f t="shared" si="4"/>
        <v>3.6</v>
      </c>
      <c r="W54" s="6">
        <f>IFERROR(VLOOKUP($L54,KEY!$A$13:$G$84,7,FALSE),18)</f>
        <v>18</v>
      </c>
      <c r="X54" s="6">
        <v>10.0</v>
      </c>
      <c r="Y54" s="7">
        <v>900.0</v>
      </c>
      <c r="Z54" s="8">
        <v>1000.0</v>
      </c>
      <c r="AA54" s="7">
        <f t="shared" si="5"/>
        <v>5850</v>
      </c>
      <c r="AB54" s="9">
        <f t="shared" si="6"/>
        <v>58.5</v>
      </c>
      <c r="AC54" s="5">
        <f t="shared" si="7"/>
        <v>3600</v>
      </c>
      <c r="AD54" s="9">
        <f t="shared" si="8"/>
        <v>64.8</v>
      </c>
      <c r="AE54" s="9">
        <f t="shared" si="9"/>
        <v>123.3</v>
      </c>
      <c r="AF54" s="7">
        <f t="shared" si="10"/>
        <v>9450</v>
      </c>
      <c r="AG54" s="9">
        <f t="shared" si="11"/>
        <v>13.04761905</v>
      </c>
    </row>
    <row r="55" ht="15.75" customHeight="1">
      <c r="A55" s="5" t="s">
        <v>126</v>
      </c>
      <c r="B55" s="5" t="s">
        <v>34</v>
      </c>
      <c r="D55" s="5" t="s">
        <v>35</v>
      </c>
      <c r="E55" s="5" t="s">
        <v>100</v>
      </c>
      <c r="F55" s="5" t="s">
        <v>106</v>
      </c>
      <c r="H55" s="5" t="s">
        <v>100</v>
      </c>
      <c r="I55" s="5" t="s">
        <v>117</v>
      </c>
      <c r="J55" s="5" t="s">
        <v>67</v>
      </c>
      <c r="K55" s="5" t="s">
        <v>71</v>
      </c>
      <c r="L55" s="5" t="s">
        <v>42</v>
      </c>
      <c r="M55" s="5" t="s">
        <v>43</v>
      </c>
      <c r="N55" s="5">
        <f>KEY!$C$2</f>
        <v>0.65</v>
      </c>
      <c r="O55" s="5">
        <f>KEY!$D$2</f>
        <v>10</v>
      </c>
      <c r="P55" s="5">
        <f>KEY!$B$2</f>
        <v>7200</v>
      </c>
      <c r="Q55" s="5">
        <f>KEY!$E$2</f>
        <v>0.06</v>
      </c>
      <c r="R55" s="5">
        <f t="shared" si="1"/>
        <v>432</v>
      </c>
      <c r="S55" s="5">
        <f>IFERROR(VLOOKUP($L55,KEY!$A$13:$G$84,4,FALSE),0.4)</f>
        <v>0.4</v>
      </c>
      <c r="T55" s="5">
        <f t="shared" si="2"/>
        <v>172.8</v>
      </c>
      <c r="U55" s="5">
        <f t="shared" si="3"/>
        <v>5.76</v>
      </c>
      <c r="V55" s="5">
        <f t="shared" si="4"/>
        <v>3.6</v>
      </c>
      <c r="W55" s="6">
        <f>IFERROR(VLOOKUP($L55,KEY!$A$13:$G$84,7,FALSE),18)</f>
        <v>18</v>
      </c>
      <c r="X55" s="6">
        <v>10.0</v>
      </c>
      <c r="Y55" s="7">
        <v>320.0</v>
      </c>
      <c r="Z55" s="8">
        <v>1000.0</v>
      </c>
      <c r="AA55" s="7">
        <f t="shared" si="5"/>
        <v>2080</v>
      </c>
      <c r="AB55" s="9">
        <f t="shared" si="6"/>
        <v>20.8</v>
      </c>
      <c r="AC55" s="5">
        <f t="shared" si="7"/>
        <v>3600</v>
      </c>
      <c r="AD55" s="9">
        <f t="shared" si="8"/>
        <v>64.8</v>
      </c>
      <c r="AE55" s="9">
        <f t="shared" si="9"/>
        <v>85.6</v>
      </c>
      <c r="AF55" s="7">
        <f t="shared" si="10"/>
        <v>5680</v>
      </c>
      <c r="AG55" s="9">
        <f t="shared" si="11"/>
        <v>15.07042254</v>
      </c>
    </row>
    <row r="56" ht="15.75" customHeight="1">
      <c r="A56" s="5" t="s">
        <v>126</v>
      </c>
      <c r="B56" s="5" t="s">
        <v>34</v>
      </c>
      <c r="D56" s="5" t="s">
        <v>35</v>
      </c>
      <c r="E56" s="5" t="s">
        <v>100</v>
      </c>
      <c r="F56" s="5" t="s">
        <v>108</v>
      </c>
      <c r="H56" s="5" t="s">
        <v>100</v>
      </c>
      <c r="I56" s="5" t="s">
        <v>118</v>
      </c>
      <c r="J56" s="5" t="s">
        <v>60</v>
      </c>
      <c r="K56" s="5" t="s">
        <v>155</v>
      </c>
      <c r="L56" s="5" t="s">
        <v>42</v>
      </c>
      <c r="M56" s="5" t="s">
        <v>43</v>
      </c>
      <c r="N56" s="5">
        <f>KEY!$C$2</f>
        <v>0.65</v>
      </c>
      <c r="O56" s="5">
        <f>KEY!$D$2</f>
        <v>10</v>
      </c>
      <c r="P56" s="5">
        <f>KEY!$B$2</f>
        <v>7200</v>
      </c>
      <c r="Q56" s="5">
        <f>KEY!$E$2</f>
        <v>0.06</v>
      </c>
      <c r="R56" s="5">
        <f t="shared" si="1"/>
        <v>432</v>
      </c>
      <c r="S56" s="5">
        <f>IFERROR(VLOOKUP($L56,KEY!$A$13:$G$84,4,FALSE),0.4)</f>
        <v>0.4</v>
      </c>
      <c r="T56" s="5">
        <f t="shared" si="2"/>
        <v>172.8</v>
      </c>
      <c r="U56" s="5">
        <f t="shared" si="3"/>
        <v>5.76</v>
      </c>
      <c r="V56" s="5">
        <f t="shared" si="4"/>
        <v>3.6</v>
      </c>
      <c r="W56" s="6">
        <f>IFERROR(VLOOKUP($L56,KEY!$A$13:$G$84,7,FALSE),18)</f>
        <v>18</v>
      </c>
      <c r="X56" s="6">
        <v>10.0</v>
      </c>
      <c r="Y56" s="7">
        <v>330.0</v>
      </c>
      <c r="Z56" s="8">
        <v>1000.0</v>
      </c>
      <c r="AA56" s="7">
        <f t="shared" si="5"/>
        <v>2145</v>
      </c>
      <c r="AB56" s="9">
        <f t="shared" si="6"/>
        <v>21.45</v>
      </c>
      <c r="AC56" s="5">
        <f t="shared" si="7"/>
        <v>3600</v>
      </c>
      <c r="AD56" s="9">
        <f t="shared" si="8"/>
        <v>64.8</v>
      </c>
      <c r="AE56" s="9">
        <f t="shared" si="9"/>
        <v>86.25</v>
      </c>
      <c r="AF56" s="7">
        <f t="shared" si="10"/>
        <v>5745</v>
      </c>
      <c r="AG56" s="9">
        <f t="shared" si="11"/>
        <v>15.01305483</v>
      </c>
    </row>
    <row r="57" ht="15.75" customHeight="1">
      <c r="A57" s="5" t="s">
        <v>126</v>
      </c>
      <c r="B57" s="5" t="s">
        <v>34</v>
      </c>
      <c r="D57" s="5" t="s">
        <v>35</v>
      </c>
      <c r="E57" s="5" t="s">
        <v>100</v>
      </c>
      <c r="F57" s="5" t="s">
        <v>115</v>
      </c>
      <c r="H57" s="5" t="s">
        <v>100</v>
      </c>
      <c r="I57" s="5" t="s">
        <v>119</v>
      </c>
      <c r="J57" s="5" t="s">
        <v>67</v>
      </c>
      <c r="K57" s="5" t="s">
        <v>71</v>
      </c>
      <c r="L57" s="5" t="s">
        <v>42</v>
      </c>
      <c r="M57" s="5" t="s">
        <v>43</v>
      </c>
      <c r="N57" s="5">
        <f>KEY!$C$2</f>
        <v>0.65</v>
      </c>
      <c r="O57" s="5">
        <f>KEY!$D$2</f>
        <v>10</v>
      </c>
      <c r="P57" s="5">
        <f>KEY!$B$2</f>
        <v>7200</v>
      </c>
      <c r="Q57" s="5">
        <f>KEY!$E$2</f>
        <v>0.06</v>
      </c>
      <c r="R57" s="5">
        <f t="shared" si="1"/>
        <v>432</v>
      </c>
      <c r="S57" s="5">
        <f>IFERROR(VLOOKUP($L57,KEY!$A$13:$G$84,4,FALSE),0.4)</f>
        <v>0.4</v>
      </c>
      <c r="T57" s="5">
        <f t="shared" si="2"/>
        <v>172.8</v>
      </c>
      <c r="U57" s="5">
        <f t="shared" si="3"/>
        <v>5.76</v>
      </c>
      <c r="V57" s="5">
        <f t="shared" si="4"/>
        <v>3.6</v>
      </c>
      <c r="W57" s="6">
        <f>IFERROR(VLOOKUP($L57,KEY!$A$13:$G$84,7,FALSE),18)</f>
        <v>18</v>
      </c>
      <c r="X57" s="6">
        <v>10.0</v>
      </c>
      <c r="Y57" s="7">
        <v>285.0</v>
      </c>
      <c r="Z57" s="8">
        <v>1000.0</v>
      </c>
      <c r="AA57" s="7">
        <f t="shared" si="5"/>
        <v>1852.5</v>
      </c>
      <c r="AB57" s="9">
        <f t="shared" si="6"/>
        <v>18.525</v>
      </c>
      <c r="AC57" s="5">
        <f t="shared" si="7"/>
        <v>3600</v>
      </c>
      <c r="AD57" s="9">
        <f t="shared" si="8"/>
        <v>64.8</v>
      </c>
      <c r="AE57" s="9">
        <f t="shared" si="9"/>
        <v>83.325</v>
      </c>
      <c r="AF57" s="7">
        <f t="shared" si="10"/>
        <v>5452.5</v>
      </c>
      <c r="AG57" s="9">
        <f t="shared" si="11"/>
        <v>15.28198074</v>
      </c>
    </row>
    <row r="58" ht="15.75" customHeight="1">
      <c r="A58" s="5" t="s">
        <v>126</v>
      </c>
      <c r="B58" s="5" t="s">
        <v>34</v>
      </c>
      <c r="D58" s="5" t="s">
        <v>44</v>
      </c>
      <c r="E58" s="5" t="s">
        <v>100</v>
      </c>
      <c r="F58" s="5" t="s">
        <v>120</v>
      </c>
      <c r="H58" s="5" t="s">
        <v>100</v>
      </c>
      <c r="I58" s="5" t="s">
        <v>121</v>
      </c>
      <c r="J58" s="5" t="s">
        <v>60</v>
      </c>
      <c r="K58" s="5" t="s">
        <v>87</v>
      </c>
      <c r="L58" s="5" t="s">
        <v>42</v>
      </c>
      <c r="M58" s="5" t="s">
        <v>43</v>
      </c>
      <c r="N58" s="5">
        <f>KEY!$C$2</f>
        <v>0.65</v>
      </c>
      <c r="O58" s="5">
        <f>KEY!$D$2</f>
        <v>10</v>
      </c>
      <c r="P58" s="5">
        <f>KEY!$B$2</f>
        <v>7200</v>
      </c>
      <c r="Q58" s="5">
        <f>KEY!$E$2</f>
        <v>0.06</v>
      </c>
      <c r="R58" s="5">
        <f t="shared" si="1"/>
        <v>432</v>
      </c>
      <c r="S58" s="5">
        <f>IFERROR(VLOOKUP($L58,KEY!$A$13:$G$84,4,FALSE),0.4)</f>
        <v>0.4</v>
      </c>
      <c r="T58" s="5">
        <f t="shared" si="2"/>
        <v>172.8</v>
      </c>
      <c r="U58" s="5">
        <f t="shared" si="3"/>
        <v>5.76</v>
      </c>
      <c r="V58" s="5">
        <f t="shared" si="4"/>
        <v>3.6</v>
      </c>
      <c r="W58" s="6">
        <f>IFERROR(VLOOKUP($L58,KEY!$A$13:$G$84,7,FALSE),18)</f>
        <v>18</v>
      </c>
      <c r="X58" s="6">
        <v>10.0</v>
      </c>
      <c r="Y58" s="7">
        <v>1100.0</v>
      </c>
      <c r="Z58" s="8">
        <v>1000.0</v>
      </c>
      <c r="AA58" s="7">
        <f t="shared" si="5"/>
        <v>7150</v>
      </c>
      <c r="AB58" s="9">
        <f t="shared" si="6"/>
        <v>71.5</v>
      </c>
      <c r="AC58" s="5">
        <f t="shared" si="7"/>
        <v>3600</v>
      </c>
      <c r="AD58" s="9">
        <f t="shared" si="8"/>
        <v>64.8</v>
      </c>
      <c r="AE58" s="9">
        <f t="shared" si="9"/>
        <v>136.3</v>
      </c>
      <c r="AF58" s="7">
        <f t="shared" si="10"/>
        <v>10750</v>
      </c>
      <c r="AG58" s="9">
        <f t="shared" si="11"/>
        <v>12.67906977</v>
      </c>
    </row>
    <row r="59" ht="15.75" customHeight="1">
      <c r="A59" s="5" t="s">
        <v>126</v>
      </c>
      <c r="B59" s="5" t="s">
        <v>34</v>
      </c>
      <c r="D59" s="5" t="s">
        <v>35</v>
      </c>
      <c r="E59" s="5" t="s">
        <v>100</v>
      </c>
      <c r="F59" s="5" t="s">
        <v>101</v>
      </c>
      <c r="H59" s="5" t="s">
        <v>100</v>
      </c>
      <c r="I59" s="5" t="s">
        <v>122</v>
      </c>
      <c r="J59" s="5" t="s">
        <v>60</v>
      </c>
      <c r="K59" s="5" t="s">
        <v>105</v>
      </c>
      <c r="L59" s="5" t="s">
        <v>42</v>
      </c>
      <c r="M59" s="5" t="s">
        <v>43</v>
      </c>
      <c r="N59" s="5">
        <f>KEY!$C$2</f>
        <v>0.65</v>
      </c>
      <c r="O59" s="5">
        <f>KEY!$D$2</f>
        <v>10</v>
      </c>
      <c r="P59" s="5">
        <f>KEY!$B$2</f>
        <v>7200</v>
      </c>
      <c r="Q59" s="5">
        <f>KEY!$E$2</f>
        <v>0.06</v>
      </c>
      <c r="R59" s="5">
        <f t="shared" si="1"/>
        <v>432</v>
      </c>
      <c r="S59" s="5">
        <f>IFERROR(VLOOKUP($L59,KEY!$A$13:$G$84,4,FALSE),0.4)</f>
        <v>0.4</v>
      </c>
      <c r="T59" s="5">
        <f t="shared" si="2"/>
        <v>172.8</v>
      </c>
      <c r="U59" s="5">
        <f t="shared" si="3"/>
        <v>5.76</v>
      </c>
      <c r="V59" s="5">
        <f t="shared" si="4"/>
        <v>3.6</v>
      </c>
      <c r="W59" s="6">
        <f>IFERROR(VLOOKUP($L59,KEY!$A$13:$G$84,7,FALSE),18)</f>
        <v>18</v>
      </c>
      <c r="X59" s="6">
        <v>10.0</v>
      </c>
      <c r="Y59" s="7">
        <v>340.0</v>
      </c>
      <c r="Z59" s="8">
        <v>1000.0</v>
      </c>
      <c r="AA59" s="7">
        <f t="shared" si="5"/>
        <v>2210</v>
      </c>
      <c r="AB59" s="9">
        <f t="shared" si="6"/>
        <v>22.1</v>
      </c>
      <c r="AC59" s="5">
        <f t="shared" si="7"/>
        <v>3600</v>
      </c>
      <c r="AD59" s="9">
        <f t="shared" si="8"/>
        <v>64.8</v>
      </c>
      <c r="AE59" s="9">
        <f t="shared" si="9"/>
        <v>86.9</v>
      </c>
      <c r="AF59" s="7">
        <f t="shared" si="10"/>
        <v>5810</v>
      </c>
      <c r="AG59" s="9">
        <f t="shared" si="11"/>
        <v>14.95697074</v>
      </c>
    </row>
    <row r="60" ht="15.75" customHeight="1">
      <c r="A60" s="5" t="s">
        <v>126</v>
      </c>
      <c r="B60" s="5" t="s">
        <v>34</v>
      </c>
      <c r="D60" s="5" t="s">
        <v>44</v>
      </c>
      <c r="E60" s="5" t="s">
        <v>100</v>
      </c>
      <c r="F60" s="5" t="s">
        <v>110</v>
      </c>
      <c r="H60" s="5" t="s">
        <v>100</v>
      </c>
      <c r="I60" s="5" t="s">
        <v>123</v>
      </c>
      <c r="J60" s="5" t="s">
        <v>67</v>
      </c>
      <c r="K60" s="5" t="s">
        <v>71</v>
      </c>
      <c r="L60" s="5" t="s">
        <v>42</v>
      </c>
      <c r="M60" s="5" t="s">
        <v>43</v>
      </c>
      <c r="N60" s="5">
        <f>KEY!$C$2</f>
        <v>0.65</v>
      </c>
      <c r="O60" s="5">
        <f>KEY!$D$2</f>
        <v>10</v>
      </c>
      <c r="P60" s="5">
        <f>KEY!$B$2</f>
        <v>7200</v>
      </c>
      <c r="Q60" s="5">
        <f>KEY!$E$2</f>
        <v>0.06</v>
      </c>
      <c r="R60" s="5">
        <f t="shared" si="1"/>
        <v>432</v>
      </c>
      <c r="S60" s="5">
        <f>IFERROR(VLOOKUP($L60,KEY!$A$13:$G$84,4,FALSE),0.4)</f>
        <v>0.4</v>
      </c>
      <c r="T60" s="5">
        <f t="shared" si="2"/>
        <v>172.8</v>
      </c>
      <c r="U60" s="5">
        <f t="shared" si="3"/>
        <v>5.76</v>
      </c>
      <c r="V60" s="5">
        <f t="shared" si="4"/>
        <v>3.6</v>
      </c>
      <c r="W60" s="6">
        <f>IFERROR(VLOOKUP($L60,KEY!$A$13:$G$84,7,FALSE),18)</f>
        <v>18</v>
      </c>
      <c r="X60" s="6">
        <v>10.0</v>
      </c>
      <c r="Y60" s="7">
        <v>1400.0</v>
      </c>
      <c r="Z60" s="8">
        <v>1000.0</v>
      </c>
      <c r="AA60" s="7">
        <f t="shared" si="5"/>
        <v>9100</v>
      </c>
      <c r="AB60" s="9">
        <f t="shared" si="6"/>
        <v>91</v>
      </c>
      <c r="AC60" s="5">
        <f t="shared" si="7"/>
        <v>3600</v>
      </c>
      <c r="AD60" s="9">
        <f t="shared" si="8"/>
        <v>64.8</v>
      </c>
      <c r="AE60" s="9">
        <f t="shared" si="9"/>
        <v>155.8</v>
      </c>
      <c r="AF60" s="7">
        <f t="shared" si="10"/>
        <v>12700</v>
      </c>
      <c r="AG60" s="9">
        <f t="shared" si="11"/>
        <v>12.26771654</v>
      </c>
    </row>
    <row r="61" ht="15.75" customHeight="1">
      <c r="A61" s="5" t="s">
        <v>126</v>
      </c>
      <c r="B61" s="5" t="s">
        <v>34</v>
      </c>
      <c r="D61" s="5" t="s">
        <v>44</v>
      </c>
      <c r="E61" s="5" t="s">
        <v>100</v>
      </c>
      <c r="F61" s="5" t="s">
        <v>112</v>
      </c>
      <c r="H61" s="5" t="s">
        <v>100</v>
      </c>
      <c r="I61" s="5" t="s">
        <v>124</v>
      </c>
      <c r="J61" s="5" t="s">
        <v>60</v>
      </c>
      <c r="K61" s="5" t="s">
        <v>41</v>
      </c>
      <c r="L61" s="5" t="s">
        <v>42</v>
      </c>
      <c r="M61" s="5" t="s">
        <v>43</v>
      </c>
      <c r="N61" s="5">
        <f>KEY!$C$2</f>
        <v>0.65</v>
      </c>
      <c r="O61" s="5">
        <f>KEY!$D$2</f>
        <v>10</v>
      </c>
      <c r="P61" s="5">
        <f>KEY!$B$2</f>
        <v>7200</v>
      </c>
      <c r="Q61" s="5">
        <f>KEY!$E$2</f>
        <v>0.06</v>
      </c>
      <c r="R61" s="5">
        <f t="shared" si="1"/>
        <v>432</v>
      </c>
      <c r="S61" s="5">
        <f>IFERROR(VLOOKUP($L61,KEY!$A$13:$G$84,4,FALSE),0.4)</f>
        <v>0.4</v>
      </c>
      <c r="T61" s="5">
        <f t="shared" si="2"/>
        <v>172.8</v>
      </c>
      <c r="U61" s="5">
        <f t="shared" si="3"/>
        <v>5.76</v>
      </c>
      <c r="V61" s="5">
        <f t="shared" si="4"/>
        <v>3.6</v>
      </c>
      <c r="W61" s="6">
        <f>IFERROR(VLOOKUP($L61,KEY!$A$13:$G$84,7,FALSE),18)</f>
        <v>18</v>
      </c>
      <c r="X61" s="6">
        <v>10.0</v>
      </c>
      <c r="Y61" s="7">
        <v>1500.0</v>
      </c>
      <c r="Z61" s="8">
        <v>1000.0</v>
      </c>
      <c r="AA61" s="7">
        <f t="shared" si="5"/>
        <v>9750</v>
      </c>
      <c r="AB61" s="9">
        <f t="shared" si="6"/>
        <v>97.5</v>
      </c>
      <c r="AC61" s="5">
        <f t="shared" si="7"/>
        <v>3600</v>
      </c>
      <c r="AD61" s="9">
        <f t="shared" si="8"/>
        <v>64.8</v>
      </c>
      <c r="AE61" s="9">
        <f t="shared" si="9"/>
        <v>162.3</v>
      </c>
      <c r="AF61" s="7">
        <f t="shared" si="10"/>
        <v>13350</v>
      </c>
      <c r="AG61" s="9">
        <f t="shared" si="11"/>
        <v>12.15730337</v>
      </c>
    </row>
    <row r="62" ht="15.75" customHeight="1">
      <c r="A62" s="5" t="s">
        <v>126</v>
      </c>
      <c r="B62" s="5" t="s">
        <v>34</v>
      </c>
      <c r="D62" s="5" t="s">
        <v>72</v>
      </c>
      <c r="E62" s="5" t="s">
        <v>156</v>
      </c>
      <c r="F62" s="5" t="s">
        <v>106</v>
      </c>
      <c r="G62" s="5" t="s">
        <v>157</v>
      </c>
      <c r="H62" s="5" t="s">
        <v>100</v>
      </c>
      <c r="I62" s="5" t="s">
        <v>158</v>
      </c>
      <c r="J62" s="5" t="s">
        <v>67</v>
      </c>
      <c r="K62" s="5" t="s">
        <v>71</v>
      </c>
      <c r="L62" s="5" t="s">
        <v>42</v>
      </c>
      <c r="M62" s="5" t="s">
        <v>43</v>
      </c>
      <c r="N62" s="5">
        <f>KEY!$C$2</f>
        <v>0.65</v>
      </c>
      <c r="O62" s="5">
        <f>KEY!$D$2</f>
        <v>10</v>
      </c>
      <c r="P62" s="5">
        <f>KEY!$B$2</f>
        <v>7200</v>
      </c>
      <c r="Q62" s="5">
        <f>KEY!$E$2</f>
        <v>0.06</v>
      </c>
      <c r="R62" s="5">
        <f t="shared" si="1"/>
        <v>432</v>
      </c>
      <c r="S62" s="5">
        <f>IFERROR(VLOOKUP($L62,KEY!$A$13:$G$84,4,FALSE),0.4)</f>
        <v>0.4</v>
      </c>
      <c r="T62" s="5">
        <f t="shared" si="2"/>
        <v>172.8</v>
      </c>
      <c r="U62" s="5">
        <f t="shared" si="3"/>
        <v>5.76</v>
      </c>
      <c r="V62" s="5">
        <f t="shared" si="4"/>
        <v>3.6</v>
      </c>
      <c r="W62" s="6">
        <f>IFERROR(VLOOKUP($L62,KEY!$A$13:$G$84,7,FALSE),18)</f>
        <v>18</v>
      </c>
      <c r="X62" s="6">
        <v>10.0</v>
      </c>
      <c r="Y62" s="7">
        <v>1800.0</v>
      </c>
      <c r="Z62" s="7">
        <v>1200.0</v>
      </c>
      <c r="AA62" s="7">
        <f t="shared" si="5"/>
        <v>11700</v>
      </c>
      <c r="AB62" s="9">
        <f t="shared" si="6"/>
        <v>117</v>
      </c>
      <c r="AC62" s="5">
        <f t="shared" si="7"/>
        <v>4320</v>
      </c>
      <c r="AD62" s="9">
        <f t="shared" si="8"/>
        <v>77.76</v>
      </c>
      <c r="AE62" s="9">
        <f t="shared" si="9"/>
        <v>194.76</v>
      </c>
      <c r="AF62" s="7">
        <f t="shared" si="10"/>
        <v>16020</v>
      </c>
      <c r="AG62" s="9">
        <f t="shared" si="11"/>
        <v>12.15730337</v>
      </c>
    </row>
    <row r="63" ht="15.75" customHeight="1">
      <c r="W63" s="6"/>
      <c r="X63" s="6"/>
      <c r="Y63" s="7"/>
      <c r="Z63" s="7"/>
      <c r="AA63" s="7"/>
      <c r="AB63" s="9"/>
      <c r="AD63" s="9"/>
      <c r="AF63" s="7"/>
    </row>
    <row r="64" ht="15.75" customHeight="1">
      <c r="W64" s="6"/>
      <c r="X64" s="6"/>
      <c r="Y64" s="7"/>
      <c r="Z64" s="7"/>
      <c r="AA64" s="7"/>
      <c r="AB64" s="9"/>
      <c r="AD64" s="9"/>
      <c r="AF64" s="7"/>
    </row>
    <row r="65" ht="15.75" customHeight="1">
      <c r="W65" s="6"/>
      <c r="X65" s="6"/>
      <c r="Y65" s="7"/>
      <c r="Z65" s="7"/>
      <c r="AA65" s="7"/>
      <c r="AB65" s="9"/>
      <c r="AD65" s="9"/>
      <c r="AF65" s="7"/>
    </row>
    <row r="66" ht="15.75" customHeight="1">
      <c r="W66" s="6"/>
      <c r="X66" s="6"/>
      <c r="Y66" s="7"/>
      <c r="Z66" s="7"/>
      <c r="AA66" s="7"/>
      <c r="AB66" s="9"/>
      <c r="AD66" s="9"/>
      <c r="AF66" s="7"/>
    </row>
    <row r="67" ht="15.75" customHeight="1">
      <c r="W67" s="6"/>
      <c r="X67" s="6"/>
      <c r="Y67" s="7"/>
      <c r="Z67" s="7"/>
      <c r="AA67" s="7"/>
      <c r="AB67" s="9"/>
      <c r="AD67" s="9"/>
      <c r="AF67" s="7"/>
    </row>
    <row r="68" ht="15.75" customHeight="1">
      <c r="W68" s="6"/>
      <c r="X68" s="6"/>
      <c r="Y68" s="7"/>
      <c r="Z68" s="7"/>
      <c r="AA68" s="7"/>
      <c r="AB68" s="9"/>
      <c r="AD68" s="9"/>
      <c r="AF68" s="7"/>
    </row>
    <row r="69" ht="15.75" customHeight="1">
      <c r="W69" s="6"/>
      <c r="X69" s="6"/>
      <c r="Y69" s="7"/>
      <c r="Z69" s="7"/>
      <c r="AA69" s="7"/>
      <c r="AB69" s="9"/>
      <c r="AD69" s="9"/>
      <c r="AF69" s="7"/>
    </row>
    <row r="70" ht="15.75" customHeight="1">
      <c r="W70" s="6"/>
      <c r="X70" s="6"/>
      <c r="Y70" s="7"/>
      <c r="Z70" s="7"/>
      <c r="AA70" s="7"/>
      <c r="AB70" s="9"/>
      <c r="AD70" s="9"/>
      <c r="AF70" s="7"/>
    </row>
    <row r="71" ht="15.75" customHeight="1">
      <c r="W71" s="6"/>
      <c r="X71" s="6"/>
      <c r="Y71" s="7"/>
      <c r="Z71" s="7"/>
      <c r="AA71" s="7"/>
      <c r="AB71" s="9"/>
      <c r="AD71" s="9"/>
      <c r="AF71" s="7"/>
    </row>
    <row r="72" ht="15.75" customHeight="1">
      <c r="W72" s="6"/>
      <c r="X72" s="6"/>
      <c r="Y72" s="7"/>
      <c r="Z72" s="7"/>
      <c r="AA72" s="7"/>
      <c r="AB72" s="9"/>
      <c r="AD72" s="9"/>
      <c r="AF72" s="7"/>
    </row>
    <row r="73" ht="15.75" customHeight="1">
      <c r="W73" s="6"/>
      <c r="X73" s="6"/>
      <c r="Y73" s="7"/>
      <c r="Z73" s="7"/>
      <c r="AA73" s="7"/>
      <c r="AB73" s="9"/>
      <c r="AD73" s="9"/>
      <c r="AF73" s="7"/>
    </row>
    <row r="74" ht="15.75" customHeight="1">
      <c r="W74" s="6"/>
      <c r="X74" s="6"/>
      <c r="Y74" s="7"/>
      <c r="Z74" s="7"/>
      <c r="AA74" s="7"/>
      <c r="AB74" s="9"/>
      <c r="AD74" s="9"/>
      <c r="AF74" s="7"/>
    </row>
    <row r="75" ht="15.75" customHeight="1">
      <c r="W75" s="6"/>
      <c r="X75" s="6"/>
      <c r="Y75" s="7"/>
      <c r="Z75" s="7"/>
      <c r="AA75" s="7"/>
      <c r="AB75" s="9"/>
      <c r="AD75" s="9"/>
      <c r="AF75" s="7"/>
    </row>
    <row r="76" ht="15.75" customHeight="1">
      <c r="W76" s="6"/>
      <c r="X76" s="6"/>
      <c r="Y76" s="7"/>
      <c r="Z76" s="7"/>
      <c r="AA76" s="7"/>
      <c r="AB76" s="9"/>
      <c r="AD76" s="9"/>
      <c r="AF76" s="7"/>
    </row>
    <row r="77" ht="15.75" customHeight="1">
      <c r="W77" s="6"/>
      <c r="X77" s="6"/>
      <c r="Y77" s="7"/>
      <c r="Z77" s="7"/>
      <c r="AA77" s="7"/>
      <c r="AB77" s="9"/>
      <c r="AD77" s="9"/>
      <c r="AF77" s="7"/>
    </row>
    <row r="78" ht="15.75" customHeight="1">
      <c r="W78" s="6"/>
      <c r="X78" s="6"/>
      <c r="Y78" s="7"/>
      <c r="Z78" s="7"/>
      <c r="AA78" s="7"/>
      <c r="AB78" s="9"/>
      <c r="AD78" s="9"/>
      <c r="AF78" s="7"/>
    </row>
    <row r="79" ht="15.75" customHeight="1">
      <c r="W79" s="6"/>
      <c r="X79" s="6"/>
      <c r="Y79" s="7"/>
      <c r="Z79" s="7"/>
      <c r="AA79" s="7"/>
      <c r="AB79" s="9"/>
      <c r="AD79" s="9"/>
      <c r="AF79" s="7"/>
    </row>
    <row r="80" ht="15.75" customHeight="1">
      <c r="W80" s="6"/>
      <c r="X80" s="6"/>
      <c r="Y80" s="7"/>
      <c r="Z80" s="7"/>
      <c r="AA80" s="7"/>
      <c r="AB80" s="9"/>
      <c r="AD80" s="9"/>
      <c r="AF80" s="7"/>
    </row>
    <row r="81" ht="15.75" customHeight="1">
      <c r="W81" s="6"/>
      <c r="X81" s="6"/>
      <c r="Y81" s="7"/>
      <c r="Z81" s="7"/>
      <c r="AA81" s="7"/>
      <c r="AB81" s="9"/>
      <c r="AD81" s="9"/>
      <c r="AF81" s="7"/>
    </row>
    <row r="82" ht="15.75" customHeight="1">
      <c r="W82" s="6"/>
      <c r="X82" s="6"/>
      <c r="Y82" s="7"/>
      <c r="Z82" s="7"/>
      <c r="AA82" s="7"/>
      <c r="AB82" s="9"/>
      <c r="AD82" s="9"/>
      <c r="AF82" s="7"/>
    </row>
    <row r="83" ht="15.75" customHeight="1">
      <c r="W83" s="6"/>
      <c r="X83" s="6"/>
      <c r="Y83" s="7"/>
      <c r="Z83" s="7"/>
      <c r="AA83" s="7"/>
      <c r="AB83" s="9"/>
      <c r="AD83" s="9"/>
      <c r="AF83" s="7"/>
    </row>
    <row r="84" ht="15.75" customHeight="1">
      <c r="W84" s="6"/>
      <c r="X84" s="6"/>
      <c r="Y84" s="7"/>
      <c r="Z84" s="7"/>
      <c r="AA84" s="7"/>
      <c r="AB84" s="9"/>
      <c r="AD84" s="9"/>
      <c r="AF84" s="7"/>
    </row>
    <row r="85" ht="15.75" customHeight="1">
      <c r="W85" s="6"/>
      <c r="X85" s="6"/>
      <c r="Y85" s="7"/>
      <c r="Z85" s="7"/>
      <c r="AA85" s="7"/>
      <c r="AB85" s="9"/>
      <c r="AD85" s="9"/>
      <c r="AF85" s="7"/>
    </row>
    <row r="86" ht="15.75" customHeight="1">
      <c r="W86" s="6"/>
      <c r="X86" s="6"/>
      <c r="Y86" s="7"/>
      <c r="Z86" s="7"/>
      <c r="AA86" s="7"/>
      <c r="AB86" s="9"/>
      <c r="AD86" s="9"/>
      <c r="AF86" s="7"/>
    </row>
    <row r="87" ht="15.75" customHeight="1">
      <c r="W87" s="6"/>
      <c r="X87" s="6"/>
      <c r="Y87" s="7"/>
      <c r="Z87" s="7"/>
      <c r="AA87" s="7"/>
      <c r="AB87" s="9"/>
      <c r="AD87" s="9"/>
      <c r="AF87" s="7"/>
    </row>
    <row r="88" ht="15.75" customHeight="1">
      <c r="W88" s="6"/>
      <c r="X88" s="6"/>
      <c r="Y88" s="7"/>
      <c r="Z88" s="7"/>
      <c r="AA88" s="7"/>
      <c r="AB88" s="9"/>
      <c r="AD88" s="9"/>
      <c r="AF88" s="7"/>
    </row>
    <row r="89" ht="15.75" customHeight="1">
      <c r="W89" s="6"/>
      <c r="X89" s="6"/>
      <c r="Y89" s="7"/>
      <c r="Z89" s="7"/>
      <c r="AA89" s="7"/>
      <c r="AB89" s="9"/>
      <c r="AD89" s="9"/>
      <c r="AF89" s="7"/>
    </row>
    <row r="90" ht="15.75" customHeight="1">
      <c r="W90" s="6"/>
      <c r="X90" s="6"/>
      <c r="Y90" s="7"/>
      <c r="Z90" s="7"/>
      <c r="AA90" s="7"/>
      <c r="AB90" s="9"/>
      <c r="AD90" s="9"/>
      <c r="AF90" s="7"/>
    </row>
    <row r="91" ht="15.75" customHeight="1">
      <c r="W91" s="6"/>
      <c r="X91" s="6"/>
      <c r="Y91" s="7"/>
      <c r="Z91" s="7"/>
      <c r="AA91" s="7"/>
      <c r="AB91" s="9"/>
      <c r="AD91" s="9"/>
      <c r="AF91" s="7"/>
    </row>
    <row r="92" ht="15.75" customHeight="1">
      <c r="W92" s="6"/>
      <c r="X92" s="6"/>
      <c r="Y92" s="7"/>
      <c r="Z92" s="7"/>
      <c r="AA92" s="7"/>
      <c r="AB92" s="9"/>
      <c r="AD92" s="9"/>
      <c r="AF92" s="7"/>
    </row>
    <row r="93" ht="15.75" customHeight="1">
      <c r="W93" s="6"/>
      <c r="X93" s="6"/>
      <c r="Y93" s="7"/>
      <c r="Z93" s="7"/>
      <c r="AA93" s="7"/>
      <c r="AB93" s="9"/>
      <c r="AD93" s="9"/>
      <c r="AF93" s="7"/>
    </row>
    <row r="94" ht="15.75" customHeight="1">
      <c r="W94" s="6"/>
      <c r="X94" s="6"/>
      <c r="Y94" s="7"/>
      <c r="Z94" s="7"/>
      <c r="AA94" s="7"/>
      <c r="AB94" s="9"/>
      <c r="AD94" s="9"/>
      <c r="AF94" s="7"/>
    </row>
    <row r="95" ht="15.75" customHeight="1">
      <c r="W95" s="6"/>
      <c r="X95" s="6"/>
      <c r="Y95" s="7"/>
      <c r="Z95" s="7"/>
      <c r="AA95" s="7"/>
      <c r="AB95" s="9"/>
      <c r="AD95" s="9"/>
      <c r="AF95" s="7"/>
    </row>
    <row r="96" ht="15.75" customHeight="1">
      <c r="W96" s="6"/>
      <c r="X96" s="6"/>
      <c r="Y96" s="7"/>
      <c r="Z96" s="7"/>
      <c r="AA96" s="7"/>
      <c r="AB96" s="9"/>
      <c r="AD96" s="9"/>
      <c r="AF96" s="7"/>
    </row>
    <row r="97" ht="15.75" customHeight="1">
      <c r="W97" s="6"/>
      <c r="X97" s="6"/>
      <c r="Y97" s="7"/>
      <c r="Z97" s="7"/>
      <c r="AA97" s="7"/>
      <c r="AB97" s="9"/>
      <c r="AD97" s="9"/>
      <c r="AF97" s="7"/>
    </row>
    <row r="98" ht="15.75" customHeight="1">
      <c r="W98" s="6"/>
      <c r="X98" s="6"/>
      <c r="Y98" s="7"/>
      <c r="Z98" s="7"/>
      <c r="AA98" s="7"/>
      <c r="AB98" s="9"/>
      <c r="AD98" s="9"/>
      <c r="AF98" s="7"/>
    </row>
    <row r="99" ht="15.75" customHeight="1">
      <c r="W99" s="6"/>
      <c r="X99" s="6"/>
      <c r="Y99" s="7"/>
      <c r="Z99" s="7"/>
      <c r="AA99" s="7"/>
      <c r="AB99" s="9"/>
      <c r="AD99" s="9"/>
      <c r="AF99" s="7"/>
    </row>
    <row r="100" ht="15.75" customHeight="1">
      <c r="W100" s="6"/>
      <c r="X100" s="6"/>
      <c r="Y100" s="7"/>
      <c r="Z100" s="7"/>
      <c r="AA100" s="7"/>
      <c r="AB100" s="9"/>
      <c r="AD100" s="9"/>
      <c r="AF100" s="7"/>
    </row>
    <row r="101" ht="15.75" customHeight="1">
      <c r="W101" s="6"/>
      <c r="X101" s="6"/>
      <c r="Y101" s="7"/>
      <c r="Z101" s="7"/>
      <c r="AA101" s="7"/>
      <c r="AB101" s="9"/>
      <c r="AD101" s="9"/>
      <c r="AF101" s="7"/>
    </row>
    <row r="102" ht="15.75" customHeight="1">
      <c r="W102" s="6"/>
      <c r="X102" s="6"/>
      <c r="Y102" s="7"/>
      <c r="Z102" s="7"/>
      <c r="AA102" s="7"/>
      <c r="AB102" s="9"/>
      <c r="AD102" s="9"/>
      <c r="AF102" s="7"/>
    </row>
    <row r="103" ht="15.75" customHeight="1">
      <c r="W103" s="6"/>
      <c r="X103" s="6"/>
      <c r="Y103" s="7"/>
      <c r="Z103" s="7"/>
      <c r="AA103" s="7"/>
      <c r="AB103" s="9"/>
      <c r="AD103" s="9"/>
      <c r="AF103" s="7"/>
    </row>
    <row r="104" ht="15.75" customHeight="1">
      <c r="W104" s="6"/>
      <c r="X104" s="6"/>
      <c r="Y104" s="7"/>
      <c r="Z104" s="7"/>
      <c r="AA104" s="7"/>
      <c r="AB104" s="9"/>
      <c r="AD104" s="9"/>
      <c r="AF104" s="7"/>
    </row>
    <row r="105" ht="15.75" customHeight="1">
      <c r="W105" s="6"/>
      <c r="X105" s="6"/>
      <c r="Y105" s="7"/>
      <c r="Z105" s="7"/>
      <c r="AA105" s="7"/>
      <c r="AB105" s="9"/>
      <c r="AD105" s="9"/>
      <c r="AF105" s="7"/>
    </row>
    <row r="106" ht="15.75" customHeight="1">
      <c r="W106" s="6"/>
      <c r="X106" s="6"/>
      <c r="Y106" s="7"/>
      <c r="Z106" s="7"/>
      <c r="AA106" s="7"/>
      <c r="AB106" s="9"/>
      <c r="AD106" s="9"/>
      <c r="AF106" s="7"/>
    </row>
    <row r="107" ht="15.75" customHeight="1">
      <c r="W107" s="6"/>
      <c r="X107" s="6"/>
      <c r="Y107" s="7"/>
      <c r="Z107" s="7"/>
      <c r="AA107" s="7"/>
      <c r="AB107" s="9"/>
      <c r="AD107" s="9"/>
      <c r="AF107" s="7"/>
    </row>
    <row r="108" ht="15.75" customHeight="1">
      <c r="W108" s="6"/>
      <c r="X108" s="6"/>
      <c r="Y108" s="7"/>
      <c r="Z108" s="7"/>
      <c r="AA108" s="7"/>
      <c r="AB108" s="9"/>
      <c r="AD108" s="9"/>
      <c r="AF108" s="7"/>
    </row>
    <row r="109" ht="15.75" customHeight="1">
      <c r="W109" s="6"/>
      <c r="X109" s="6"/>
      <c r="Y109" s="7"/>
      <c r="Z109" s="7"/>
      <c r="AA109" s="7"/>
      <c r="AB109" s="9"/>
      <c r="AD109" s="9"/>
      <c r="AF109" s="7"/>
    </row>
    <row r="110" ht="15.75" customHeight="1">
      <c r="W110" s="6"/>
      <c r="X110" s="6"/>
      <c r="Y110" s="7"/>
      <c r="Z110" s="7"/>
      <c r="AA110" s="7"/>
      <c r="AB110" s="9"/>
      <c r="AD110" s="9"/>
      <c r="AF110" s="7"/>
    </row>
    <row r="111" ht="15.75" customHeight="1">
      <c r="W111" s="6"/>
      <c r="X111" s="6"/>
      <c r="Y111" s="7"/>
      <c r="Z111" s="7"/>
      <c r="AA111" s="7"/>
      <c r="AB111" s="9"/>
      <c r="AD111" s="9"/>
      <c r="AF111" s="7"/>
    </row>
    <row r="112" ht="15.75" customHeight="1">
      <c r="W112" s="6"/>
      <c r="X112" s="6"/>
      <c r="Y112" s="7"/>
      <c r="Z112" s="7"/>
      <c r="AA112" s="7"/>
      <c r="AB112" s="9"/>
      <c r="AD112" s="9"/>
      <c r="AF112" s="7"/>
    </row>
    <row r="113" ht="15.75" customHeight="1">
      <c r="W113" s="6"/>
      <c r="X113" s="6"/>
      <c r="Y113" s="7"/>
      <c r="Z113" s="7"/>
      <c r="AA113" s="7"/>
      <c r="AB113" s="9"/>
      <c r="AD113" s="9"/>
      <c r="AF113" s="7"/>
    </row>
    <row r="114" ht="15.75" customHeight="1">
      <c r="W114" s="6"/>
      <c r="X114" s="6"/>
      <c r="Y114" s="7"/>
      <c r="Z114" s="7"/>
      <c r="AA114" s="7"/>
      <c r="AB114" s="9"/>
      <c r="AD114" s="9"/>
      <c r="AF114" s="7"/>
    </row>
    <row r="115" ht="15.75" customHeight="1">
      <c r="W115" s="6"/>
      <c r="X115" s="6"/>
      <c r="Y115" s="7"/>
      <c r="Z115" s="7"/>
      <c r="AA115" s="7"/>
      <c r="AB115" s="9"/>
      <c r="AD115" s="9"/>
      <c r="AF115" s="7"/>
    </row>
    <row r="116" ht="15.75" customHeight="1">
      <c r="W116" s="6"/>
      <c r="X116" s="6"/>
      <c r="Y116" s="7"/>
      <c r="Z116" s="7"/>
      <c r="AA116" s="7"/>
      <c r="AB116" s="9"/>
      <c r="AD116" s="9"/>
      <c r="AF116" s="7"/>
    </row>
    <row r="117" ht="15.75" customHeight="1">
      <c r="W117" s="6"/>
      <c r="X117" s="6"/>
      <c r="Y117" s="7"/>
      <c r="Z117" s="7"/>
      <c r="AA117" s="7"/>
      <c r="AB117" s="9"/>
      <c r="AD117" s="9"/>
      <c r="AF117" s="7"/>
    </row>
    <row r="118" ht="15.75" customHeight="1">
      <c r="W118" s="6"/>
      <c r="X118" s="6"/>
      <c r="Y118" s="7"/>
      <c r="Z118" s="7"/>
      <c r="AA118" s="7"/>
      <c r="AB118" s="9"/>
      <c r="AD118" s="9"/>
      <c r="AF118" s="7"/>
    </row>
    <row r="119" ht="15.75" customHeight="1">
      <c r="W119" s="6"/>
      <c r="X119" s="6"/>
      <c r="Y119" s="7"/>
      <c r="Z119" s="7"/>
      <c r="AA119" s="7"/>
      <c r="AB119" s="9"/>
      <c r="AD119" s="9"/>
      <c r="AF119" s="7"/>
    </row>
    <row r="120" ht="15.75" customHeight="1">
      <c r="W120" s="6"/>
      <c r="X120" s="6"/>
      <c r="Y120" s="7"/>
      <c r="Z120" s="7"/>
      <c r="AA120" s="7"/>
      <c r="AB120" s="9"/>
      <c r="AD120" s="9"/>
      <c r="AF120" s="7"/>
    </row>
    <row r="121" ht="15.75" customHeight="1">
      <c r="W121" s="6"/>
      <c r="X121" s="6"/>
      <c r="Y121" s="7"/>
      <c r="Z121" s="7"/>
      <c r="AA121" s="7"/>
      <c r="AB121" s="9"/>
      <c r="AD121" s="9"/>
      <c r="AF121" s="7"/>
    </row>
    <row r="122" ht="15.75" customHeight="1">
      <c r="W122" s="6"/>
      <c r="X122" s="6"/>
      <c r="Y122" s="7"/>
      <c r="Z122" s="7"/>
      <c r="AA122" s="7"/>
      <c r="AB122" s="9"/>
      <c r="AD122" s="9"/>
      <c r="AF122" s="7"/>
    </row>
    <row r="123" ht="15.75" customHeight="1">
      <c r="W123" s="6"/>
      <c r="X123" s="6"/>
      <c r="Y123" s="7"/>
      <c r="Z123" s="7"/>
      <c r="AA123" s="7"/>
      <c r="AB123" s="9"/>
      <c r="AD123" s="9"/>
      <c r="AF123" s="7"/>
    </row>
    <row r="124" ht="15.75" customHeight="1">
      <c r="W124" s="6"/>
      <c r="X124" s="6"/>
      <c r="Y124" s="7"/>
      <c r="Z124" s="7"/>
      <c r="AA124" s="7"/>
      <c r="AB124" s="9"/>
      <c r="AD124" s="9"/>
      <c r="AF124" s="7"/>
    </row>
    <row r="125" ht="15.75" customHeight="1">
      <c r="W125" s="6"/>
      <c r="X125" s="6"/>
      <c r="Y125" s="7"/>
      <c r="Z125" s="7"/>
      <c r="AA125" s="7"/>
      <c r="AB125" s="9"/>
      <c r="AD125" s="9"/>
      <c r="AF125" s="7"/>
    </row>
    <row r="126" ht="15.75" customHeight="1">
      <c r="W126" s="6"/>
      <c r="X126" s="6"/>
      <c r="Y126" s="7"/>
      <c r="Z126" s="7"/>
      <c r="AA126" s="7"/>
      <c r="AB126" s="9"/>
      <c r="AD126" s="9"/>
      <c r="AF126" s="7"/>
    </row>
    <row r="127" ht="15.75" customHeight="1">
      <c r="W127" s="6"/>
      <c r="X127" s="6"/>
      <c r="Y127" s="7"/>
      <c r="Z127" s="7"/>
      <c r="AA127" s="7"/>
      <c r="AB127" s="9"/>
      <c r="AD127" s="9"/>
      <c r="AF127" s="7"/>
    </row>
    <row r="128" ht="15.75" customHeight="1">
      <c r="W128" s="6"/>
      <c r="X128" s="6"/>
      <c r="Y128" s="7"/>
      <c r="Z128" s="7"/>
      <c r="AA128" s="7"/>
      <c r="AB128" s="9"/>
      <c r="AD128" s="9"/>
      <c r="AF128" s="7"/>
    </row>
    <row r="129" ht="15.75" customHeight="1">
      <c r="W129" s="6"/>
      <c r="X129" s="6"/>
      <c r="Y129" s="7"/>
      <c r="Z129" s="7"/>
      <c r="AA129" s="7"/>
      <c r="AB129" s="9"/>
      <c r="AD129" s="9"/>
      <c r="AF129" s="7"/>
    </row>
    <row r="130" ht="15.75" customHeight="1">
      <c r="W130" s="6"/>
      <c r="X130" s="6"/>
      <c r="Y130" s="7"/>
      <c r="Z130" s="7"/>
      <c r="AA130" s="7"/>
      <c r="AB130" s="9"/>
      <c r="AD130" s="9"/>
      <c r="AF130" s="7"/>
    </row>
    <row r="131" ht="15.75" customHeight="1">
      <c r="W131" s="6"/>
      <c r="X131" s="6"/>
      <c r="Y131" s="7"/>
      <c r="Z131" s="7"/>
      <c r="AA131" s="7"/>
      <c r="AB131" s="9"/>
      <c r="AD131" s="9"/>
      <c r="AF131" s="7"/>
    </row>
    <row r="132" ht="15.75" customHeight="1">
      <c r="W132" s="6"/>
      <c r="X132" s="6"/>
      <c r="Y132" s="7"/>
      <c r="Z132" s="7"/>
      <c r="AA132" s="7"/>
      <c r="AB132" s="9"/>
      <c r="AD132" s="9"/>
      <c r="AF132" s="7"/>
    </row>
    <row r="133" ht="15.75" customHeight="1">
      <c r="W133" s="6"/>
      <c r="X133" s="6"/>
      <c r="Y133" s="7"/>
      <c r="Z133" s="7"/>
      <c r="AA133" s="7"/>
      <c r="AB133" s="9"/>
      <c r="AD133" s="9"/>
      <c r="AF133" s="7"/>
    </row>
    <row r="134" ht="15.75" customHeight="1">
      <c r="W134" s="6"/>
      <c r="X134" s="6"/>
      <c r="Y134" s="7"/>
      <c r="Z134" s="7"/>
      <c r="AA134" s="7"/>
      <c r="AB134" s="9"/>
      <c r="AD134" s="9"/>
      <c r="AF134" s="7"/>
    </row>
    <row r="135" ht="15.75" customHeight="1">
      <c r="W135" s="6"/>
      <c r="X135" s="6"/>
      <c r="Y135" s="7"/>
      <c r="Z135" s="7"/>
      <c r="AA135" s="7"/>
      <c r="AB135" s="9"/>
      <c r="AD135" s="9"/>
      <c r="AF135" s="7"/>
    </row>
    <row r="136" ht="15.75" customHeight="1">
      <c r="W136" s="6"/>
      <c r="X136" s="6"/>
      <c r="Y136" s="7"/>
      <c r="Z136" s="7"/>
      <c r="AA136" s="7"/>
      <c r="AB136" s="9"/>
      <c r="AD136" s="9"/>
      <c r="AF136" s="7"/>
    </row>
    <row r="137" ht="15.75" customHeight="1">
      <c r="W137" s="6"/>
      <c r="X137" s="6"/>
      <c r="Y137" s="7"/>
      <c r="Z137" s="7"/>
      <c r="AA137" s="7"/>
      <c r="AB137" s="9"/>
      <c r="AD137" s="9"/>
      <c r="AF137" s="7"/>
    </row>
    <row r="138" ht="15.75" customHeight="1">
      <c r="W138" s="6"/>
      <c r="X138" s="6"/>
      <c r="Y138" s="7"/>
      <c r="Z138" s="7"/>
      <c r="AA138" s="7"/>
      <c r="AB138" s="9"/>
      <c r="AD138" s="9"/>
      <c r="AF138" s="7"/>
    </row>
    <row r="139" ht="15.75" customHeight="1">
      <c r="W139" s="6"/>
      <c r="X139" s="6"/>
      <c r="Y139" s="7"/>
      <c r="Z139" s="7"/>
      <c r="AA139" s="7"/>
      <c r="AB139" s="9"/>
      <c r="AD139" s="9"/>
      <c r="AF139" s="7"/>
    </row>
    <row r="140" ht="15.75" customHeight="1">
      <c r="W140" s="6"/>
      <c r="X140" s="6"/>
      <c r="Y140" s="7"/>
      <c r="Z140" s="7"/>
      <c r="AA140" s="7"/>
      <c r="AB140" s="9"/>
      <c r="AD140" s="9"/>
      <c r="AF140" s="7"/>
    </row>
    <row r="141" ht="15.75" customHeight="1">
      <c r="W141" s="6"/>
      <c r="X141" s="6"/>
      <c r="Y141" s="7"/>
      <c r="Z141" s="7"/>
      <c r="AA141" s="7"/>
      <c r="AB141" s="9"/>
      <c r="AD141" s="9"/>
      <c r="AF141" s="7"/>
    </row>
    <row r="142" ht="15.75" customHeight="1">
      <c r="W142" s="6"/>
      <c r="X142" s="6"/>
      <c r="Y142" s="7"/>
      <c r="Z142" s="7"/>
      <c r="AA142" s="7"/>
      <c r="AB142" s="9"/>
      <c r="AD142" s="9"/>
      <c r="AF142" s="7"/>
    </row>
    <row r="143" ht="15.75" customHeight="1">
      <c r="W143" s="6"/>
      <c r="X143" s="6"/>
      <c r="Y143" s="7"/>
      <c r="Z143" s="7"/>
      <c r="AA143" s="7"/>
      <c r="AB143" s="9"/>
      <c r="AD143" s="9"/>
      <c r="AF143" s="7"/>
    </row>
    <row r="144" ht="15.75" customHeight="1">
      <c r="W144" s="6"/>
      <c r="X144" s="6"/>
      <c r="Y144" s="7"/>
      <c r="Z144" s="7"/>
      <c r="AA144" s="7"/>
      <c r="AB144" s="9"/>
      <c r="AD144" s="9"/>
      <c r="AF144" s="7"/>
    </row>
    <row r="145" ht="15.75" customHeight="1">
      <c r="W145" s="6"/>
      <c r="X145" s="6"/>
      <c r="Y145" s="7"/>
      <c r="Z145" s="7"/>
      <c r="AA145" s="7"/>
      <c r="AB145" s="9"/>
      <c r="AD145" s="9"/>
      <c r="AF145" s="7"/>
    </row>
    <row r="146" ht="15.75" customHeight="1">
      <c r="W146" s="6"/>
      <c r="X146" s="6"/>
      <c r="Y146" s="7"/>
      <c r="Z146" s="7"/>
      <c r="AA146" s="7"/>
      <c r="AB146" s="9"/>
      <c r="AD146" s="9"/>
      <c r="AF146" s="7"/>
    </row>
    <row r="147" ht="15.75" customHeight="1">
      <c r="W147" s="6"/>
      <c r="X147" s="6"/>
      <c r="Y147" s="7"/>
      <c r="Z147" s="7"/>
      <c r="AA147" s="7"/>
      <c r="AB147" s="9"/>
      <c r="AD147" s="9"/>
      <c r="AF147" s="7"/>
    </row>
    <row r="148" ht="15.75" customHeight="1">
      <c r="W148" s="6"/>
      <c r="X148" s="6"/>
      <c r="Y148" s="7"/>
      <c r="Z148" s="7"/>
      <c r="AA148" s="7"/>
      <c r="AB148" s="9"/>
      <c r="AD148" s="9"/>
      <c r="AF148" s="7"/>
    </row>
    <row r="149" ht="15.75" customHeight="1">
      <c r="W149" s="6"/>
      <c r="X149" s="6"/>
      <c r="Y149" s="7"/>
      <c r="Z149" s="7"/>
      <c r="AA149" s="7"/>
      <c r="AB149" s="9"/>
      <c r="AD149" s="9"/>
      <c r="AF149" s="7"/>
    </row>
    <row r="150" ht="15.75" customHeight="1">
      <c r="W150" s="6"/>
      <c r="X150" s="6"/>
      <c r="Y150" s="7"/>
      <c r="Z150" s="7"/>
      <c r="AA150" s="7"/>
      <c r="AB150" s="9"/>
      <c r="AD150" s="9"/>
      <c r="AF150" s="7"/>
    </row>
    <row r="151" ht="15.75" customHeight="1">
      <c r="W151" s="6"/>
      <c r="X151" s="6"/>
      <c r="Y151" s="7"/>
      <c r="Z151" s="7"/>
      <c r="AA151" s="7"/>
      <c r="AB151" s="9"/>
      <c r="AD151" s="9"/>
      <c r="AF151" s="7"/>
    </row>
    <row r="152" ht="15.75" customHeight="1">
      <c r="W152" s="6"/>
      <c r="X152" s="6"/>
      <c r="Y152" s="7"/>
      <c r="Z152" s="7"/>
      <c r="AA152" s="7"/>
      <c r="AB152" s="9"/>
      <c r="AD152" s="9"/>
      <c r="AF152" s="7"/>
    </row>
    <row r="153" ht="15.75" customHeight="1">
      <c r="W153" s="6"/>
      <c r="X153" s="6"/>
      <c r="Y153" s="7"/>
      <c r="Z153" s="7"/>
      <c r="AA153" s="7"/>
      <c r="AB153" s="9"/>
      <c r="AD153" s="9"/>
      <c r="AF153" s="7"/>
    </row>
    <row r="154" ht="15.75" customHeight="1">
      <c r="W154" s="6"/>
      <c r="X154" s="6"/>
      <c r="Y154" s="7"/>
      <c r="Z154" s="7"/>
      <c r="AA154" s="7"/>
      <c r="AB154" s="9"/>
      <c r="AD154" s="9"/>
      <c r="AF154" s="7"/>
    </row>
    <row r="155" ht="15.75" customHeight="1">
      <c r="W155" s="6"/>
      <c r="X155" s="6"/>
      <c r="Y155" s="7"/>
      <c r="Z155" s="7"/>
      <c r="AA155" s="7"/>
      <c r="AB155" s="9"/>
      <c r="AD155" s="9"/>
      <c r="AF155" s="7"/>
    </row>
    <row r="156" ht="15.75" customHeight="1">
      <c r="W156" s="6"/>
      <c r="X156" s="6"/>
      <c r="Y156" s="7"/>
      <c r="Z156" s="7"/>
      <c r="AA156" s="7"/>
      <c r="AB156" s="9"/>
      <c r="AD156" s="9"/>
      <c r="AF156" s="7"/>
    </row>
    <row r="157" ht="15.75" customHeight="1">
      <c r="W157" s="6"/>
      <c r="X157" s="6"/>
      <c r="Y157" s="7"/>
      <c r="Z157" s="7"/>
      <c r="AA157" s="7"/>
      <c r="AB157" s="9"/>
      <c r="AD157" s="9"/>
      <c r="AF157" s="7"/>
    </row>
    <row r="158" ht="15.75" customHeight="1">
      <c r="W158" s="6"/>
      <c r="X158" s="6"/>
      <c r="Y158" s="7"/>
      <c r="Z158" s="7"/>
      <c r="AA158" s="7"/>
      <c r="AB158" s="9"/>
      <c r="AD158" s="9"/>
      <c r="AF158" s="7"/>
    </row>
    <row r="159" ht="15.75" customHeight="1">
      <c r="W159" s="6"/>
      <c r="X159" s="6"/>
      <c r="Y159" s="7"/>
      <c r="Z159" s="7"/>
      <c r="AA159" s="7"/>
      <c r="AB159" s="9"/>
      <c r="AD159" s="9"/>
      <c r="AF159" s="7"/>
    </row>
    <row r="160" ht="15.75" customHeight="1">
      <c r="W160" s="6"/>
      <c r="X160" s="6"/>
      <c r="Y160" s="7"/>
      <c r="Z160" s="7"/>
      <c r="AA160" s="7"/>
      <c r="AB160" s="9"/>
      <c r="AD160" s="9"/>
      <c r="AF160" s="7"/>
    </row>
    <row r="161" ht="15.75" customHeight="1">
      <c r="W161" s="6"/>
      <c r="X161" s="6"/>
      <c r="Y161" s="7"/>
      <c r="Z161" s="7"/>
      <c r="AA161" s="7"/>
      <c r="AB161" s="9"/>
      <c r="AD161" s="9"/>
      <c r="AF161" s="7"/>
    </row>
    <row r="162" ht="15.75" customHeight="1">
      <c r="W162" s="6"/>
      <c r="X162" s="6"/>
      <c r="Y162" s="7"/>
      <c r="Z162" s="7"/>
      <c r="AA162" s="7"/>
      <c r="AB162" s="9"/>
      <c r="AD162" s="9"/>
      <c r="AF162" s="7"/>
    </row>
    <row r="163" ht="15.75" customHeight="1">
      <c r="W163" s="6"/>
      <c r="X163" s="6"/>
      <c r="Y163" s="7"/>
      <c r="Z163" s="7"/>
      <c r="AA163" s="7"/>
      <c r="AB163" s="9"/>
      <c r="AD163" s="9"/>
      <c r="AF163" s="7"/>
    </row>
    <row r="164" ht="15.75" customHeight="1">
      <c r="W164" s="6"/>
      <c r="X164" s="6"/>
      <c r="Y164" s="7"/>
      <c r="Z164" s="7"/>
      <c r="AA164" s="7"/>
      <c r="AB164" s="9"/>
      <c r="AD164" s="9"/>
      <c r="AF164" s="7"/>
    </row>
    <row r="165" ht="15.75" customHeight="1">
      <c r="W165" s="6"/>
      <c r="X165" s="6"/>
      <c r="Y165" s="7"/>
      <c r="Z165" s="7"/>
      <c r="AA165" s="7"/>
      <c r="AB165" s="9"/>
      <c r="AD165" s="9"/>
      <c r="AF165" s="7"/>
    </row>
    <row r="166" ht="15.75" customHeight="1">
      <c r="W166" s="6"/>
      <c r="X166" s="6"/>
      <c r="Y166" s="7"/>
      <c r="Z166" s="7"/>
      <c r="AA166" s="7"/>
      <c r="AB166" s="9"/>
      <c r="AD166" s="9"/>
      <c r="AF166" s="7"/>
    </row>
    <row r="167" ht="15.75" customHeight="1">
      <c r="W167" s="6"/>
      <c r="X167" s="6"/>
      <c r="Y167" s="7"/>
      <c r="Z167" s="7"/>
      <c r="AA167" s="7"/>
      <c r="AB167" s="9"/>
      <c r="AD167" s="9"/>
      <c r="AF167" s="7"/>
    </row>
    <row r="168" ht="15.75" customHeight="1">
      <c r="W168" s="6"/>
      <c r="X168" s="6"/>
      <c r="Y168" s="7"/>
      <c r="Z168" s="7"/>
      <c r="AA168" s="7"/>
      <c r="AB168" s="9"/>
      <c r="AD168" s="9"/>
      <c r="AF168" s="7"/>
    </row>
    <row r="169" ht="15.75" customHeight="1">
      <c r="W169" s="6"/>
      <c r="X169" s="6"/>
      <c r="Y169" s="7"/>
      <c r="Z169" s="7"/>
      <c r="AA169" s="7"/>
      <c r="AB169" s="9"/>
      <c r="AD169" s="9"/>
      <c r="AF169" s="7"/>
    </row>
    <row r="170" ht="15.75" customHeight="1">
      <c r="W170" s="6"/>
      <c r="X170" s="6"/>
      <c r="Y170" s="7"/>
      <c r="Z170" s="7"/>
      <c r="AA170" s="7"/>
      <c r="AB170" s="9"/>
      <c r="AD170" s="9"/>
      <c r="AF170" s="7"/>
    </row>
    <row r="171" ht="15.75" customHeight="1">
      <c r="W171" s="6"/>
      <c r="X171" s="6"/>
      <c r="Y171" s="7"/>
      <c r="Z171" s="7"/>
      <c r="AA171" s="7"/>
      <c r="AB171" s="9"/>
      <c r="AD171" s="9"/>
      <c r="AF171" s="7"/>
    </row>
    <row r="172" ht="15.75" customHeight="1">
      <c r="W172" s="6"/>
      <c r="X172" s="6"/>
      <c r="Y172" s="7"/>
      <c r="Z172" s="7"/>
      <c r="AA172" s="7"/>
      <c r="AB172" s="9"/>
      <c r="AD172" s="9"/>
      <c r="AF172" s="7"/>
    </row>
    <row r="173" ht="15.75" customHeight="1">
      <c r="W173" s="6"/>
      <c r="X173" s="6"/>
      <c r="Y173" s="7"/>
      <c r="Z173" s="7"/>
      <c r="AA173" s="7"/>
      <c r="AB173" s="9"/>
      <c r="AD173" s="9"/>
      <c r="AF173" s="7"/>
    </row>
    <row r="174" ht="15.75" customHeight="1">
      <c r="W174" s="6"/>
      <c r="X174" s="6"/>
      <c r="Y174" s="7"/>
      <c r="Z174" s="7"/>
      <c r="AA174" s="7"/>
      <c r="AB174" s="9"/>
      <c r="AD174" s="9"/>
      <c r="AF174" s="7"/>
    </row>
    <row r="175" ht="15.75" customHeight="1">
      <c r="W175" s="6"/>
      <c r="X175" s="6"/>
      <c r="Y175" s="7"/>
      <c r="Z175" s="7"/>
      <c r="AA175" s="7"/>
      <c r="AB175" s="9"/>
      <c r="AD175" s="9"/>
      <c r="AF175" s="7"/>
    </row>
    <row r="176" ht="15.75" customHeight="1">
      <c r="W176" s="6"/>
      <c r="X176" s="6"/>
      <c r="Y176" s="7"/>
      <c r="Z176" s="7"/>
      <c r="AA176" s="7"/>
      <c r="AB176" s="9"/>
      <c r="AD176" s="9"/>
      <c r="AF176" s="7"/>
    </row>
    <row r="177" ht="15.75" customHeight="1">
      <c r="W177" s="6"/>
      <c r="X177" s="6"/>
      <c r="Y177" s="7"/>
      <c r="Z177" s="7"/>
      <c r="AA177" s="7"/>
      <c r="AB177" s="9"/>
      <c r="AD177" s="9"/>
      <c r="AF177" s="7"/>
    </row>
    <row r="178" ht="15.75" customHeight="1">
      <c r="W178" s="6"/>
      <c r="X178" s="6"/>
      <c r="Y178" s="7"/>
      <c r="Z178" s="7"/>
      <c r="AA178" s="7"/>
      <c r="AB178" s="9"/>
      <c r="AD178" s="9"/>
      <c r="AF178" s="7"/>
    </row>
    <row r="179" ht="15.75" customHeight="1">
      <c r="W179" s="6"/>
      <c r="X179" s="6"/>
      <c r="Y179" s="7"/>
      <c r="Z179" s="7"/>
      <c r="AA179" s="7"/>
      <c r="AB179" s="9"/>
      <c r="AD179" s="9"/>
      <c r="AF179" s="7"/>
    </row>
    <row r="180" ht="15.75" customHeight="1">
      <c r="W180" s="6"/>
      <c r="X180" s="6"/>
      <c r="Y180" s="7"/>
      <c r="Z180" s="7"/>
      <c r="AA180" s="7"/>
      <c r="AB180" s="9"/>
      <c r="AD180" s="9"/>
      <c r="AF180" s="7"/>
    </row>
    <row r="181" ht="15.75" customHeight="1">
      <c r="W181" s="6"/>
      <c r="X181" s="6"/>
      <c r="Y181" s="7"/>
      <c r="Z181" s="7"/>
      <c r="AA181" s="7"/>
      <c r="AB181" s="9"/>
      <c r="AD181" s="9"/>
      <c r="AF181" s="7"/>
    </row>
    <row r="182" ht="15.75" customHeight="1">
      <c r="W182" s="6"/>
      <c r="X182" s="6"/>
      <c r="Y182" s="7"/>
      <c r="Z182" s="7"/>
      <c r="AA182" s="7"/>
      <c r="AB182" s="9"/>
      <c r="AD182" s="9"/>
      <c r="AF182" s="7"/>
    </row>
    <row r="183" ht="15.75" customHeight="1">
      <c r="W183" s="6"/>
      <c r="X183" s="6"/>
      <c r="Y183" s="7"/>
      <c r="Z183" s="7"/>
      <c r="AA183" s="7"/>
      <c r="AB183" s="9"/>
      <c r="AD183" s="9"/>
      <c r="AF183" s="7"/>
    </row>
    <row r="184" ht="15.75" customHeight="1">
      <c r="W184" s="6"/>
      <c r="X184" s="6"/>
      <c r="Y184" s="7"/>
      <c r="Z184" s="7"/>
      <c r="AA184" s="7"/>
      <c r="AB184" s="9"/>
      <c r="AD184" s="9"/>
      <c r="AF184" s="7"/>
    </row>
    <row r="185" ht="15.75" customHeight="1">
      <c r="W185" s="6"/>
      <c r="X185" s="6"/>
      <c r="Y185" s="7"/>
      <c r="Z185" s="7"/>
      <c r="AA185" s="7"/>
      <c r="AB185" s="9"/>
      <c r="AD185" s="9"/>
      <c r="AF185" s="7"/>
    </row>
    <row r="186" ht="15.75" customHeight="1">
      <c r="W186" s="6"/>
      <c r="X186" s="6"/>
      <c r="Y186" s="7"/>
      <c r="Z186" s="7"/>
      <c r="AA186" s="7"/>
      <c r="AB186" s="9"/>
      <c r="AD186" s="9"/>
      <c r="AF186" s="7"/>
    </row>
    <row r="187" ht="15.75" customHeight="1">
      <c r="W187" s="6"/>
      <c r="X187" s="6"/>
      <c r="Y187" s="7"/>
      <c r="Z187" s="7"/>
      <c r="AA187" s="7"/>
      <c r="AB187" s="9"/>
      <c r="AD187" s="9"/>
      <c r="AF187" s="7"/>
    </row>
    <row r="188" ht="15.75" customHeight="1">
      <c r="W188" s="6"/>
      <c r="X188" s="6"/>
      <c r="Y188" s="7"/>
      <c r="Z188" s="7"/>
      <c r="AA188" s="7"/>
      <c r="AB188" s="9"/>
      <c r="AD188" s="9"/>
      <c r="AF188" s="7"/>
    </row>
    <row r="189" ht="15.75" customHeight="1">
      <c r="W189" s="6"/>
      <c r="X189" s="6"/>
      <c r="Y189" s="7"/>
      <c r="Z189" s="7"/>
      <c r="AA189" s="7"/>
      <c r="AB189" s="9"/>
      <c r="AD189" s="9"/>
      <c r="AF189" s="7"/>
    </row>
    <row r="190" ht="15.75" customHeight="1">
      <c r="W190" s="6"/>
      <c r="X190" s="6"/>
      <c r="Y190" s="7"/>
      <c r="Z190" s="7"/>
      <c r="AA190" s="7"/>
      <c r="AB190" s="9"/>
      <c r="AD190" s="9"/>
      <c r="AF190" s="7"/>
    </row>
    <row r="191" ht="15.75" customHeight="1">
      <c r="W191" s="6"/>
      <c r="X191" s="6"/>
      <c r="Y191" s="7"/>
      <c r="Z191" s="7"/>
      <c r="AA191" s="7"/>
      <c r="AB191" s="9"/>
      <c r="AD191" s="9"/>
      <c r="AF191" s="7"/>
    </row>
    <row r="192" ht="15.75" customHeight="1">
      <c r="W192" s="6"/>
      <c r="X192" s="6"/>
      <c r="Y192" s="7"/>
      <c r="Z192" s="7"/>
      <c r="AA192" s="7"/>
      <c r="AB192" s="9"/>
      <c r="AD192" s="9"/>
      <c r="AF192" s="7"/>
    </row>
    <row r="193" ht="15.75" customHeight="1">
      <c r="W193" s="6"/>
      <c r="X193" s="6"/>
      <c r="Y193" s="7"/>
      <c r="Z193" s="7"/>
      <c r="AA193" s="7"/>
      <c r="AB193" s="9"/>
      <c r="AD193" s="9"/>
      <c r="AF193" s="7"/>
    </row>
    <row r="194" ht="15.75" customHeight="1">
      <c r="W194" s="6"/>
      <c r="X194" s="6"/>
      <c r="Y194" s="7"/>
      <c r="Z194" s="7"/>
      <c r="AA194" s="7"/>
      <c r="AB194" s="9"/>
      <c r="AD194" s="9"/>
      <c r="AF194" s="7"/>
    </row>
    <row r="195" ht="15.75" customHeight="1">
      <c r="W195" s="6"/>
      <c r="X195" s="6"/>
      <c r="Y195" s="7"/>
      <c r="Z195" s="7"/>
      <c r="AA195" s="7"/>
      <c r="AB195" s="9"/>
      <c r="AD195" s="9"/>
      <c r="AF195" s="7"/>
    </row>
    <row r="196" ht="15.75" customHeight="1">
      <c r="W196" s="6"/>
      <c r="X196" s="6"/>
      <c r="Y196" s="7"/>
      <c r="Z196" s="7"/>
      <c r="AA196" s="7"/>
      <c r="AB196" s="9"/>
      <c r="AD196" s="9"/>
      <c r="AF196" s="7"/>
    </row>
    <row r="197" ht="15.75" customHeight="1">
      <c r="W197" s="6"/>
      <c r="X197" s="6"/>
      <c r="Y197" s="7"/>
      <c r="Z197" s="7"/>
      <c r="AA197" s="7"/>
      <c r="AB197" s="9"/>
      <c r="AD197" s="9"/>
      <c r="AF197" s="7"/>
    </row>
    <row r="198" ht="15.75" customHeight="1">
      <c r="W198" s="6"/>
      <c r="X198" s="6"/>
      <c r="Y198" s="7"/>
      <c r="Z198" s="7"/>
      <c r="AA198" s="7"/>
      <c r="AB198" s="9"/>
      <c r="AD198" s="9"/>
      <c r="AF198" s="7"/>
    </row>
    <row r="199" ht="15.75" customHeight="1">
      <c r="W199" s="6"/>
      <c r="X199" s="6"/>
      <c r="Y199" s="7"/>
      <c r="Z199" s="7"/>
      <c r="AA199" s="7"/>
      <c r="AB199" s="9"/>
      <c r="AD199" s="9"/>
      <c r="AF199" s="7"/>
    </row>
    <row r="200" ht="15.75" customHeight="1">
      <c r="W200" s="6"/>
      <c r="X200" s="6"/>
      <c r="Y200" s="7"/>
      <c r="Z200" s="7"/>
      <c r="AA200" s="7"/>
      <c r="AB200" s="9"/>
      <c r="AD200" s="9"/>
      <c r="AF200" s="7"/>
    </row>
    <row r="201" ht="15.75" customHeight="1">
      <c r="W201" s="6"/>
      <c r="X201" s="6"/>
      <c r="Y201" s="7"/>
      <c r="Z201" s="7"/>
      <c r="AA201" s="7"/>
      <c r="AB201" s="9"/>
      <c r="AD201" s="9"/>
      <c r="AF201" s="7"/>
    </row>
    <row r="202" ht="15.75" customHeight="1">
      <c r="W202" s="6"/>
      <c r="X202" s="6"/>
      <c r="Y202" s="7"/>
      <c r="Z202" s="7"/>
      <c r="AA202" s="7"/>
      <c r="AB202" s="9"/>
      <c r="AD202" s="9"/>
      <c r="AF202" s="7"/>
    </row>
    <row r="203" ht="15.75" customHeight="1">
      <c r="W203" s="6"/>
      <c r="X203" s="6"/>
      <c r="Y203" s="7"/>
      <c r="Z203" s="7"/>
      <c r="AA203" s="7"/>
      <c r="AB203" s="9"/>
      <c r="AD203" s="9"/>
      <c r="AF203" s="7"/>
    </row>
    <row r="204" ht="15.75" customHeight="1">
      <c r="W204" s="6"/>
      <c r="X204" s="6"/>
      <c r="Y204" s="7"/>
      <c r="Z204" s="7"/>
      <c r="AA204" s="7"/>
      <c r="AB204" s="9"/>
      <c r="AD204" s="9"/>
      <c r="AF204" s="7"/>
    </row>
    <row r="205" ht="15.75" customHeight="1">
      <c r="W205" s="6"/>
      <c r="X205" s="6"/>
      <c r="Y205" s="7"/>
      <c r="Z205" s="7"/>
      <c r="AA205" s="7"/>
      <c r="AB205" s="9"/>
      <c r="AD205" s="9"/>
      <c r="AF205" s="7"/>
    </row>
    <row r="206" ht="15.75" customHeight="1">
      <c r="W206" s="6"/>
      <c r="X206" s="6"/>
      <c r="Y206" s="7"/>
      <c r="Z206" s="7"/>
      <c r="AA206" s="7"/>
      <c r="AB206" s="9"/>
      <c r="AD206" s="9"/>
      <c r="AF206" s="7"/>
    </row>
    <row r="207" ht="15.75" customHeight="1">
      <c r="W207" s="6"/>
      <c r="X207" s="6"/>
      <c r="Y207" s="7"/>
      <c r="Z207" s="7"/>
      <c r="AA207" s="7"/>
      <c r="AB207" s="9"/>
      <c r="AD207" s="9"/>
      <c r="AF207" s="7"/>
    </row>
    <row r="208" ht="15.75" customHeight="1">
      <c r="W208" s="6"/>
      <c r="X208" s="6"/>
      <c r="Y208" s="7"/>
      <c r="Z208" s="7"/>
      <c r="AA208" s="7"/>
      <c r="AB208" s="9"/>
      <c r="AD208" s="9"/>
      <c r="AF208" s="7"/>
    </row>
    <row r="209" ht="15.75" customHeight="1">
      <c r="W209" s="6"/>
      <c r="X209" s="6"/>
      <c r="Y209" s="7"/>
      <c r="Z209" s="7"/>
      <c r="AA209" s="7"/>
      <c r="AB209" s="9"/>
      <c r="AD209" s="9"/>
      <c r="AF209" s="7"/>
    </row>
    <row r="210" ht="15.75" customHeight="1">
      <c r="W210" s="6"/>
      <c r="X210" s="6"/>
      <c r="Y210" s="7"/>
      <c r="Z210" s="7"/>
      <c r="AA210" s="7"/>
      <c r="AB210" s="9"/>
      <c r="AD210" s="9"/>
      <c r="AF210" s="7"/>
    </row>
    <row r="211" ht="15.75" customHeight="1">
      <c r="W211" s="6"/>
      <c r="X211" s="6"/>
      <c r="Y211" s="7"/>
      <c r="Z211" s="7"/>
      <c r="AA211" s="7"/>
      <c r="AB211" s="9"/>
      <c r="AD211" s="9"/>
      <c r="AF211" s="7"/>
    </row>
    <row r="212" ht="15.75" customHeight="1">
      <c r="W212" s="6"/>
      <c r="X212" s="6"/>
      <c r="Y212" s="7"/>
      <c r="Z212" s="7"/>
      <c r="AA212" s="7"/>
      <c r="AB212" s="9"/>
      <c r="AD212" s="9"/>
      <c r="AF212" s="7"/>
    </row>
    <row r="213" ht="15.75" customHeight="1">
      <c r="W213" s="6"/>
      <c r="X213" s="6"/>
      <c r="Y213" s="7"/>
      <c r="Z213" s="7"/>
      <c r="AA213" s="7"/>
      <c r="AB213" s="9"/>
      <c r="AD213" s="9"/>
      <c r="AF213" s="7"/>
    </row>
    <row r="214" ht="15.75" customHeight="1">
      <c r="W214" s="6"/>
      <c r="X214" s="6"/>
      <c r="Y214" s="7"/>
      <c r="Z214" s="7"/>
      <c r="AA214" s="7"/>
      <c r="AB214" s="9"/>
      <c r="AD214" s="9"/>
      <c r="AF214" s="7"/>
    </row>
    <row r="215" ht="15.75" customHeight="1">
      <c r="W215" s="6"/>
      <c r="X215" s="6"/>
      <c r="Y215" s="7"/>
      <c r="Z215" s="7"/>
      <c r="AA215" s="7"/>
      <c r="AB215" s="9"/>
      <c r="AD215" s="9"/>
      <c r="AF215" s="7"/>
    </row>
    <row r="216" ht="15.75" customHeight="1">
      <c r="W216" s="6"/>
      <c r="X216" s="6"/>
      <c r="Y216" s="7"/>
      <c r="Z216" s="7"/>
      <c r="AA216" s="7"/>
      <c r="AB216" s="9"/>
      <c r="AD216" s="9"/>
      <c r="AF216" s="7"/>
    </row>
    <row r="217" ht="15.75" customHeight="1">
      <c r="W217" s="6"/>
      <c r="X217" s="6"/>
      <c r="Y217" s="7"/>
      <c r="Z217" s="7"/>
      <c r="AA217" s="7"/>
      <c r="AB217" s="9"/>
      <c r="AD217" s="9"/>
      <c r="AF217" s="7"/>
    </row>
    <row r="218" ht="15.75" customHeight="1">
      <c r="W218" s="6"/>
      <c r="X218" s="6"/>
      <c r="Y218" s="7"/>
      <c r="Z218" s="7"/>
      <c r="AA218" s="7"/>
      <c r="AB218" s="9"/>
      <c r="AD218" s="9"/>
      <c r="AF218" s="7"/>
    </row>
    <row r="219" ht="15.75" customHeight="1">
      <c r="W219" s="6"/>
      <c r="X219" s="6"/>
      <c r="Y219" s="7"/>
      <c r="Z219" s="7"/>
      <c r="AA219" s="7"/>
      <c r="AB219" s="9"/>
      <c r="AD219" s="9"/>
      <c r="AF219" s="7"/>
    </row>
    <row r="220" ht="15.75" customHeight="1">
      <c r="W220" s="6"/>
      <c r="X220" s="6"/>
      <c r="Y220" s="7"/>
      <c r="Z220" s="7"/>
      <c r="AA220" s="7"/>
      <c r="AB220" s="9"/>
      <c r="AD220" s="9"/>
      <c r="AF220" s="7"/>
    </row>
    <row r="221" ht="15.75" customHeight="1">
      <c r="W221" s="6"/>
      <c r="X221" s="6"/>
      <c r="Y221" s="7"/>
      <c r="Z221" s="7"/>
      <c r="AA221" s="7"/>
      <c r="AB221" s="9"/>
      <c r="AD221" s="9"/>
      <c r="AF221" s="7"/>
    </row>
    <row r="222" ht="15.75" customHeight="1">
      <c r="W222" s="6"/>
      <c r="X222" s="6"/>
      <c r="Y222" s="7"/>
      <c r="Z222" s="7"/>
      <c r="AA222" s="7"/>
      <c r="AB222" s="9"/>
      <c r="AD222" s="9"/>
      <c r="AF222" s="7"/>
    </row>
    <row r="223" ht="15.75" customHeight="1">
      <c r="W223" s="6"/>
      <c r="X223" s="6"/>
      <c r="Y223" s="7"/>
      <c r="Z223" s="7"/>
      <c r="AA223" s="7"/>
      <c r="AB223" s="9"/>
      <c r="AD223" s="9"/>
      <c r="AF223" s="7"/>
    </row>
    <row r="224" ht="15.75" customHeight="1">
      <c r="W224" s="6"/>
      <c r="X224" s="6"/>
      <c r="Y224" s="7"/>
      <c r="Z224" s="7"/>
      <c r="AA224" s="7"/>
      <c r="AB224" s="9"/>
      <c r="AD224" s="9"/>
      <c r="AF224" s="7"/>
    </row>
    <row r="225" ht="15.75" customHeight="1">
      <c r="W225" s="6"/>
      <c r="X225" s="6"/>
      <c r="Y225" s="7"/>
      <c r="Z225" s="7"/>
      <c r="AA225" s="7"/>
      <c r="AB225" s="9"/>
      <c r="AD225" s="9"/>
      <c r="AF225" s="7"/>
    </row>
    <row r="226" ht="15.75" customHeight="1">
      <c r="W226" s="6"/>
      <c r="X226" s="6"/>
      <c r="Y226" s="7"/>
      <c r="Z226" s="7"/>
      <c r="AA226" s="7"/>
      <c r="AB226" s="9"/>
      <c r="AD226" s="9"/>
      <c r="AF226" s="7"/>
    </row>
    <row r="227" ht="15.75" customHeight="1">
      <c r="W227" s="6"/>
      <c r="X227" s="6"/>
      <c r="Y227" s="7"/>
      <c r="Z227" s="7"/>
      <c r="AA227" s="7"/>
      <c r="AB227" s="9"/>
      <c r="AD227" s="9"/>
      <c r="AF227" s="7"/>
    </row>
    <row r="228" ht="15.75" customHeight="1">
      <c r="W228" s="6"/>
      <c r="X228" s="6"/>
      <c r="Y228" s="7"/>
      <c r="Z228" s="7"/>
      <c r="AA228" s="7"/>
      <c r="AB228" s="9"/>
      <c r="AD228" s="9"/>
      <c r="AF228" s="7"/>
    </row>
    <row r="229" ht="15.75" customHeight="1">
      <c r="W229" s="6"/>
      <c r="X229" s="6"/>
      <c r="Y229" s="7"/>
      <c r="Z229" s="7"/>
      <c r="AA229" s="7"/>
      <c r="AB229" s="9"/>
      <c r="AD229" s="9"/>
      <c r="AF229" s="7"/>
    </row>
    <row r="230" ht="15.75" customHeight="1">
      <c r="W230" s="6"/>
      <c r="X230" s="6"/>
      <c r="Y230" s="7"/>
      <c r="Z230" s="7"/>
      <c r="AA230" s="7"/>
      <c r="AB230" s="9"/>
      <c r="AD230" s="9"/>
      <c r="AF230" s="7"/>
    </row>
    <row r="231" ht="15.75" customHeight="1">
      <c r="W231" s="6"/>
      <c r="X231" s="6"/>
      <c r="Y231" s="7"/>
      <c r="Z231" s="7"/>
      <c r="AA231" s="7"/>
      <c r="AB231" s="9"/>
      <c r="AD231" s="9"/>
      <c r="AF231" s="7"/>
    </row>
    <row r="232" ht="15.75" customHeight="1">
      <c r="W232" s="6"/>
      <c r="X232" s="6"/>
      <c r="Y232" s="7"/>
      <c r="Z232" s="7"/>
      <c r="AA232" s="7"/>
      <c r="AB232" s="9"/>
      <c r="AD232" s="9"/>
      <c r="AF232" s="7"/>
    </row>
    <row r="233" ht="15.75" customHeight="1">
      <c r="W233" s="6"/>
      <c r="X233" s="6"/>
      <c r="Y233" s="7"/>
      <c r="Z233" s="7"/>
      <c r="AA233" s="7"/>
      <c r="AB233" s="9"/>
      <c r="AD233" s="9"/>
      <c r="AF233" s="7"/>
    </row>
    <row r="234" ht="15.75" customHeight="1">
      <c r="W234" s="6"/>
      <c r="X234" s="6"/>
      <c r="Y234" s="7"/>
      <c r="Z234" s="7"/>
      <c r="AA234" s="7"/>
      <c r="AB234" s="9"/>
      <c r="AD234" s="9"/>
      <c r="AF234" s="7"/>
    </row>
    <row r="235" ht="15.75" customHeight="1">
      <c r="W235" s="6"/>
      <c r="X235" s="6"/>
      <c r="Y235" s="7"/>
      <c r="Z235" s="7"/>
      <c r="AA235" s="7"/>
      <c r="AB235" s="9"/>
      <c r="AD235" s="9"/>
      <c r="AF235" s="7"/>
    </row>
    <row r="236" ht="15.75" customHeight="1">
      <c r="W236" s="6"/>
      <c r="X236" s="6"/>
      <c r="Y236" s="7"/>
      <c r="Z236" s="7"/>
      <c r="AA236" s="7"/>
      <c r="AB236" s="9"/>
      <c r="AD236" s="9"/>
      <c r="AF236" s="7"/>
    </row>
    <row r="237" ht="15.75" customHeight="1">
      <c r="W237" s="6"/>
      <c r="X237" s="6"/>
      <c r="Y237" s="7"/>
      <c r="Z237" s="7"/>
      <c r="AA237" s="7"/>
      <c r="AB237" s="9"/>
      <c r="AD237" s="9"/>
      <c r="AF237" s="7"/>
    </row>
    <row r="238" ht="15.75" customHeight="1">
      <c r="W238" s="6"/>
      <c r="X238" s="6"/>
      <c r="Y238" s="7"/>
      <c r="Z238" s="7"/>
      <c r="AA238" s="7"/>
      <c r="AB238" s="9"/>
      <c r="AD238" s="9"/>
      <c r="AF238" s="7"/>
    </row>
    <row r="239" ht="15.75" customHeight="1">
      <c r="W239" s="6"/>
      <c r="X239" s="6"/>
      <c r="Y239" s="7"/>
      <c r="Z239" s="7"/>
      <c r="AA239" s="7"/>
      <c r="AB239" s="9"/>
      <c r="AD239" s="9"/>
      <c r="AF239" s="7"/>
    </row>
    <row r="240" ht="15.75" customHeight="1">
      <c r="W240" s="6"/>
      <c r="X240" s="6"/>
      <c r="Y240" s="7"/>
      <c r="Z240" s="7"/>
      <c r="AA240" s="7"/>
      <c r="AB240" s="9"/>
      <c r="AD240" s="9"/>
      <c r="AF240" s="7"/>
    </row>
    <row r="241" ht="15.75" customHeight="1">
      <c r="W241" s="6"/>
      <c r="X241" s="6"/>
      <c r="Y241" s="7"/>
      <c r="Z241" s="7"/>
      <c r="AA241" s="7"/>
      <c r="AB241" s="9"/>
      <c r="AD241" s="9"/>
      <c r="AF241" s="7"/>
    </row>
    <row r="242" ht="15.75" customHeight="1">
      <c r="W242" s="6"/>
      <c r="X242" s="6"/>
      <c r="Y242" s="7"/>
      <c r="Z242" s="7"/>
      <c r="AA242" s="7"/>
      <c r="AB242" s="9"/>
      <c r="AD242" s="9"/>
      <c r="AF242" s="7"/>
    </row>
    <row r="243" ht="15.75" customHeight="1">
      <c r="W243" s="6"/>
      <c r="X243" s="6"/>
      <c r="Y243" s="7"/>
      <c r="Z243" s="7"/>
      <c r="AA243" s="7"/>
      <c r="AB243" s="9"/>
      <c r="AD243" s="9"/>
      <c r="AF243" s="7"/>
    </row>
    <row r="244" ht="15.75" customHeight="1">
      <c r="W244" s="6"/>
      <c r="X244" s="6"/>
      <c r="Y244" s="7"/>
      <c r="Z244" s="7"/>
      <c r="AA244" s="7"/>
      <c r="AB244" s="9"/>
      <c r="AD244" s="9"/>
      <c r="AF244" s="7"/>
    </row>
    <row r="245" ht="15.75" customHeight="1">
      <c r="W245" s="6"/>
      <c r="X245" s="6"/>
      <c r="Y245" s="7"/>
      <c r="Z245" s="7"/>
      <c r="AA245" s="7"/>
      <c r="AB245" s="9"/>
      <c r="AD245" s="9"/>
      <c r="AF245" s="7"/>
    </row>
    <row r="246" ht="15.75" customHeight="1">
      <c r="W246" s="6"/>
      <c r="X246" s="6"/>
      <c r="Y246" s="7"/>
      <c r="Z246" s="7"/>
      <c r="AA246" s="7"/>
      <c r="AB246" s="9"/>
      <c r="AD246" s="9"/>
      <c r="AF246" s="7"/>
    </row>
    <row r="247" ht="15.75" customHeight="1">
      <c r="W247" s="6"/>
      <c r="X247" s="6"/>
      <c r="Y247" s="7"/>
      <c r="Z247" s="7"/>
      <c r="AA247" s="7"/>
      <c r="AB247" s="9"/>
      <c r="AD247" s="9"/>
      <c r="AF247" s="7"/>
    </row>
    <row r="248" ht="15.75" customHeight="1">
      <c r="W248" s="6"/>
      <c r="X248" s="6"/>
      <c r="Y248" s="7"/>
      <c r="Z248" s="7"/>
      <c r="AA248" s="7"/>
      <c r="AB248" s="9"/>
      <c r="AD248" s="9"/>
      <c r="AF248" s="7"/>
    </row>
    <row r="249" ht="15.75" customHeight="1">
      <c r="W249" s="6"/>
      <c r="X249" s="6"/>
      <c r="Y249" s="7"/>
      <c r="Z249" s="7"/>
      <c r="AA249" s="7"/>
      <c r="AB249" s="9"/>
      <c r="AD249" s="9"/>
      <c r="AF249" s="7"/>
    </row>
    <row r="250" ht="15.75" customHeight="1">
      <c r="W250" s="6"/>
      <c r="X250" s="6"/>
      <c r="Y250" s="7"/>
      <c r="Z250" s="7"/>
      <c r="AA250" s="7"/>
      <c r="AB250" s="9"/>
      <c r="AD250" s="9"/>
      <c r="AF250" s="7"/>
    </row>
    <row r="251" ht="15.75" customHeight="1">
      <c r="W251" s="6"/>
      <c r="X251" s="6"/>
      <c r="Y251" s="7"/>
      <c r="Z251" s="7"/>
      <c r="AA251" s="7"/>
      <c r="AB251" s="9"/>
      <c r="AD251" s="9"/>
      <c r="AF251" s="7"/>
    </row>
    <row r="252" ht="15.75" customHeight="1">
      <c r="W252" s="6"/>
      <c r="X252" s="6"/>
      <c r="Y252" s="7"/>
      <c r="Z252" s="7"/>
      <c r="AA252" s="7"/>
      <c r="AB252" s="9"/>
      <c r="AD252" s="9"/>
      <c r="AF252" s="7"/>
    </row>
    <row r="253" ht="15.75" customHeight="1">
      <c r="W253" s="6"/>
      <c r="X253" s="6"/>
      <c r="Y253" s="7"/>
      <c r="Z253" s="7"/>
      <c r="AA253" s="7"/>
      <c r="AB253" s="9"/>
      <c r="AD253" s="9"/>
      <c r="AF253" s="7"/>
    </row>
    <row r="254" ht="15.75" customHeight="1">
      <c r="W254" s="6"/>
      <c r="X254" s="6"/>
      <c r="Y254" s="7"/>
      <c r="Z254" s="7"/>
      <c r="AA254" s="7"/>
      <c r="AB254" s="9"/>
      <c r="AD254" s="9"/>
      <c r="AF254" s="7"/>
    </row>
    <row r="255" ht="15.75" customHeight="1">
      <c r="W255" s="6"/>
      <c r="X255" s="6"/>
      <c r="Y255" s="7"/>
      <c r="Z255" s="7"/>
      <c r="AA255" s="7"/>
      <c r="AB255" s="9"/>
      <c r="AD255" s="9"/>
      <c r="AF255" s="7"/>
    </row>
    <row r="256" ht="15.75" customHeight="1">
      <c r="W256" s="6"/>
      <c r="X256" s="6"/>
      <c r="Y256" s="7"/>
      <c r="Z256" s="7"/>
      <c r="AA256" s="7"/>
      <c r="AB256" s="9"/>
      <c r="AD256" s="9"/>
      <c r="AF256" s="7"/>
    </row>
    <row r="257" ht="15.75" customHeight="1">
      <c r="W257" s="6"/>
      <c r="X257" s="6"/>
      <c r="Y257" s="7"/>
      <c r="Z257" s="7"/>
      <c r="AA257" s="7"/>
      <c r="AB257" s="9"/>
      <c r="AD257" s="9"/>
      <c r="AF257" s="7"/>
    </row>
    <row r="258" ht="15.75" customHeight="1">
      <c r="W258" s="6"/>
      <c r="X258" s="6"/>
      <c r="Y258" s="7"/>
      <c r="Z258" s="7"/>
      <c r="AA258" s="7"/>
      <c r="AB258" s="9"/>
      <c r="AD258" s="9"/>
      <c r="AF258" s="7"/>
    </row>
    <row r="259" ht="15.75" customHeight="1">
      <c r="W259" s="6"/>
      <c r="X259" s="6"/>
      <c r="Y259" s="7"/>
      <c r="Z259" s="7"/>
      <c r="AA259" s="7"/>
      <c r="AB259" s="9"/>
      <c r="AD259" s="9"/>
      <c r="AF259" s="7"/>
    </row>
    <row r="260" ht="15.75" customHeight="1">
      <c r="W260" s="6"/>
      <c r="X260" s="6"/>
      <c r="Y260" s="7"/>
      <c r="Z260" s="7"/>
      <c r="AA260" s="7"/>
      <c r="AB260" s="9"/>
      <c r="AD260" s="9"/>
      <c r="AF260" s="7"/>
    </row>
    <row r="261" ht="15.75" customHeight="1">
      <c r="W261" s="6"/>
      <c r="X261" s="6"/>
      <c r="Y261" s="7"/>
      <c r="Z261" s="7"/>
      <c r="AA261" s="7"/>
      <c r="AB261" s="9"/>
      <c r="AD261" s="9"/>
      <c r="AF261" s="7"/>
    </row>
    <row r="262" ht="15.75" customHeight="1">
      <c r="W262" s="6"/>
      <c r="X262" s="6"/>
      <c r="Y262" s="7"/>
      <c r="Z262" s="7"/>
      <c r="AA262" s="7"/>
      <c r="AB262" s="9"/>
      <c r="AD262" s="9"/>
      <c r="AF262" s="7"/>
    </row>
    <row r="263" ht="15.75" customHeight="1">
      <c r="W263" s="6"/>
      <c r="X263" s="6"/>
      <c r="Y263" s="7"/>
      <c r="Z263" s="7"/>
      <c r="AA263" s="7"/>
      <c r="AB263" s="9"/>
      <c r="AD263" s="9"/>
      <c r="AF263" s="7"/>
    </row>
    <row r="264" ht="15.75" customHeight="1">
      <c r="W264" s="6"/>
      <c r="X264" s="6"/>
      <c r="Y264" s="7"/>
      <c r="Z264" s="7"/>
      <c r="AA264" s="7"/>
      <c r="AB264" s="9"/>
      <c r="AD264" s="9"/>
      <c r="AF264" s="7"/>
    </row>
    <row r="265" ht="15.75" customHeight="1">
      <c r="W265" s="6"/>
      <c r="X265" s="6"/>
      <c r="Y265" s="7"/>
      <c r="Z265" s="7"/>
      <c r="AA265" s="7"/>
      <c r="AB265" s="9"/>
      <c r="AD265" s="9"/>
      <c r="AF265" s="7"/>
    </row>
    <row r="266" ht="15.75" customHeight="1">
      <c r="W266" s="6"/>
      <c r="X266" s="6"/>
      <c r="Y266" s="7"/>
      <c r="Z266" s="7"/>
      <c r="AA266" s="7"/>
      <c r="AB266" s="9"/>
      <c r="AD266" s="9"/>
      <c r="AF266" s="7"/>
    </row>
    <row r="267" ht="15.75" customHeight="1">
      <c r="W267" s="6"/>
      <c r="X267" s="6"/>
      <c r="Y267" s="7"/>
      <c r="Z267" s="7"/>
      <c r="AA267" s="7"/>
      <c r="AB267" s="9"/>
      <c r="AD267" s="9"/>
      <c r="AF267" s="7"/>
    </row>
    <row r="268" ht="15.75" customHeight="1">
      <c r="W268" s="6"/>
      <c r="X268" s="6"/>
      <c r="Y268" s="7"/>
      <c r="Z268" s="7"/>
      <c r="AA268" s="7"/>
      <c r="AB268" s="9"/>
      <c r="AD268" s="9"/>
      <c r="AF268" s="7"/>
    </row>
    <row r="269" ht="15.75" customHeight="1">
      <c r="W269" s="6"/>
      <c r="X269" s="6"/>
      <c r="Y269" s="7"/>
      <c r="Z269" s="7"/>
      <c r="AA269" s="7"/>
      <c r="AB269" s="9"/>
      <c r="AD269" s="9"/>
      <c r="AF269" s="7"/>
    </row>
    <row r="270" ht="15.75" customHeight="1">
      <c r="W270" s="6"/>
      <c r="X270" s="6"/>
      <c r="Y270" s="7"/>
      <c r="Z270" s="7"/>
      <c r="AA270" s="7"/>
      <c r="AB270" s="9"/>
      <c r="AD270" s="9"/>
      <c r="AF270" s="7"/>
    </row>
    <row r="271" ht="15.75" customHeight="1">
      <c r="W271" s="6"/>
      <c r="X271" s="6"/>
      <c r="Y271" s="7"/>
      <c r="Z271" s="7"/>
      <c r="AA271" s="7"/>
      <c r="AB271" s="9"/>
      <c r="AD271" s="9"/>
      <c r="AF271" s="7"/>
    </row>
    <row r="272" ht="15.75" customHeight="1">
      <c r="W272" s="6"/>
      <c r="X272" s="6"/>
      <c r="Y272" s="7"/>
      <c r="Z272" s="7"/>
      <c r="AA272" s="7"/>
      <c r="AB272" s="9"/>
      <c r="AD272" s="9"/>
      <c r="AF272" s="7"/>
    </row>
    <row r="273" ht="15.75" customHeight="1">
      <c r="W273" s="6"/>
      <c r="X273" s="6"/>
      <c r="Y273" s="7"/>
      <c r="Z273" s="7"/>
      <c r="AA273" s="7"/>
      <c r="AB273" s="9"/>
      <c r="AD273" s="9"/>
      <c r="AF273" s="7"/>
    </row>
    <row r="274" ht="15.75" customHeight="1">
      <c r="W274" s="6"/>
      <c r="X274" s="6"/>
      <c r="Y274" s="7"/>
      <c r="Z274" s="7"/>
      <c r="AA274" s="7"/>
      <c r="AB274" s="9"/>
      <c r="AD274" s="9"/>
      <c r="AF274" s="7"/>
    </row>
    <row r="275" ht="15.75" customHeight="1">
      <c r="W275" s="6"/>
      <c r="X275" s="6"/>
      <c r="Y275" s="7"/>
      <c r="Z275" s="7"/>
      <c r="AA275" s="7"/>
      <c r="AB275" s="9"/>
      <c r="AD275" s="9"/>
      <c r="AF275" s="7"/>
    </row>
    <row r="276" ht="15.75" customHeight="1">
      <c r="W276" s="6"/>
      <c r="X276" s="6"/>
      <c r="Y276" s="7"/>
      <c r="Z276" s="7"/>
      <c r="AA276" s="7"/>
      <c r="AB276" s="9"/>
      <c r="AD276" s="9"/>
      <c r="AF276" s="7"/>
    </row>
    <row r="277" ht="15.75" customHeight="1">
      <c r="W277" s="6"/>
      <c r="X277" s="6"/>
      <c r="Y277" s="7"/>
      <c r="Z277" s="7"/>
      <c r="AA277" s="7"/>
      <c r="AB277" s="9"/>
      <c r="AD277" s="9"/>
      <c r="AF277" s="7"/>
    </row>
    <row r="278" ht="15.75" customHeight="1">
      <c r="W278" s="6"/>
      <c r="X278" s="6"/>
      <c r="Y278" s="7"/>
      <c r="Z278" s="7"/>
      <c r="AA278" s="7"/>
      <c r="AB278" s="9"/>
      <c r="AD278" s="9"/>
      <c r="AF278" s="7"/>
    </row>
    <row r="279" ht="15.75" customHeight="1">
      <c r="W279" s="6"/>
      <c r="X279" s="6"/>
      <c r="Y279" s="7"/>
      <c r="Z279" s="7"/>
      <c r="AA279" s="7"/>
      <c r="AB279" s="9"/>
      <c r="AD279" s="9"/>
      <c r="AF279" s="7"/>
    </row>
    <row r="280" ht="15.75" customHeight="1">
      <c r="W280" s="6"/>
      <c r="X280" s="6"/>
      <c r="Y280" s="7"/>
      <c r="Z280" s="7"/>
      <c r="AA280" s="7"/>
      <c r="AB280" s="9"/>
      <c r="AD280" s="9"/>
      <c r="AF280" s="7"/>
    </row>
    <row r="281" ht="15.75" customHeight="1">
      <c r="W281" s="6"/>
      <c r="X281" s="6"/>
      <c r="Y281" s="7"/>
      <c r="Z281" s="7"/>
      <c r="AA281" s="7"/>
      <c r="AB281" s="9"/>
      <c r="AD281" s="9"/>
      <c r="AF281" s="7"/>
    </row>
    <row r="282" ht="15.75" customHeight="1">
      <c r="W282" s="6"/>
      <c r="X282" s="6"/>
      <c r="Y282" s="7"/>
      <c r="Z282" s="7"/>
      <c r="AA282" s="7"/>
      <c r="AB282" s="9"/>
      <c r="AD282" s="9"/>
      <c r="AF282" s="7"/>
    </row>
    <row r="283" ht="15.75" customHeight="1">
      <c r="W283" s="6"/>
      <c r="X283" s="6"/>
      <c r="Y283" s="7"/>
      <c r="Z283" s="7"/>
      <c r="AA283" s="7"/>
      <c r="AB283" s="9"/>
      <c r="AD283" s="9"/>
      <c r="AF283" s="7"/>
    </row>
    <row r="284" ht="15.75" customHeight="1">
      <c r="W284" s="6"/>
      <c r="X284" s="6"/>
      <c r="Y284" s="7"/>
      <c r="Z284" s="7"/>
      <c r="AA284" s="7"/>
      <c r="AB284" s="9"/>
      <c r="AD284" s="9"/>
      <c r="AF284" s="7"/>
    </row>
    <row r="285" ht="15.75" customHeight="1">
      <c r="W285" s="6"/>
      <c r="X285" s="6"/>
      <c r="Y285" s="7"/>
      <c r="Z285" s="7"/>
      <c r="AA285" s="7"/>
      <c r="AB285" s="9"/>
      <c r="AD285" s="9"/>
      <c r="AF285" s="7"/>
    </row>
    <row r="286" ht="15.75" customHeight="1">
      <c r="W286" s="6"/>
      <c r="X286" s="6"/>
      <c r="Y286" s="7"/>
      <c r="Z286" s="7"/>
      <c r="AA286" s="7"/>
      <c r="AB286" s="9"/>
      <c r="AD286" s="9"/>
      <c r="AF286" s="7"/>
    </row>
    <row r="287" ht="15.75" customHeight="1">
      <c r="W287" s="6"/>
      <c r="X287" s="6"/>
      <c r="Y287" s="7"/>
      <c r="Z287" s="7"/>
      <c r="AA287" s="7"/>
      <c r="AB287" s="9"/>
      <c r="AD287" s="9"/>
      <c r="AF287" s="7"/>
    </row>
    <row r="288" ht="15.75" customHeight="1">
      <c r="W288" s="6"/>
      <c r="X288" s="6"/>
      <c r="Y288" s="7"/>
      <c r="Z288" s="7"/>
      <c r="AA288" s="7"/>
      <c r="AB288" s="9"/>
      <c r="AD288" s="9"/>
      <c r="AF288" s="7"/>
    </row>
    <row r="289" ht="15.75" customHeight="1">
      <c r="W289" s="6"/>
      <c r="X289" s="6"/>
      <c r="Y289" s="7"/>
      <c r="Z289" s="7"/>
      <c r="AA289" s="7"/>
      <c r="AB289" s="9"/>
      <c r="AD289" s="9"/>
      <c r="AF289" s="7"/>
    </row>
    <row r="290" ht="15.75" customHeight="1">
      <c r="W290" s="6"/>
      <c r="X290" s="6"/>
      <c r="Y290" s="7"/>
      <c r="Z290" s="7"/>
      <c r="AA290" s="7"/>
      <c r="AB290" s="9"/>
      <c r="AD290" s="9"/>
      <c r="AF290" s="7"/>
    </row>
    <row r="291" ht="15.75" customHeight="1">
      <c r="W291" s="6"/>
      <c r="X291" s="6"/>
      <c r="Y291" s="7"/>
      <c r="Z291" s="7"/>
      <c r="AA291" s="7"/>
      <c r="AB291" s="9"/>
      <c r="AD291" s="9"/>
      <c r="AF291" s="7"/>
    </row>
    <row r="292" ht="15.75" customHeight="1">
      <c r="W292" s="6"/>
      <c r="X292" s="6"/>
      <c r="Y292" s="7"/>
      <c r="Z292" s="7"/>
      <c r="AA292" s="7"/>
      <c r="AB292" s="9"/>
      <c r="AD292" s="9"/>
      <c r="AF292" s="7"/>
    </row>
    <row r="293" ht="15.75" customHeight="1">
      <c r="W293" s="6"/>
      <c r="X293" s="6"/>
      <c r="Y293" s="7"/>
      <c r="Z293" s="7"/>
      <c r="AA293" s="7"/>
      <c r="AB293" s="9"/>
      <c r="AD293" s="9"/>
      <c r="AF293" s="7"/>
    </row>
    <row r="294" ht="15.75" customHeight="1">
      <c r="W294" s="6"/>
      <c r="X294" s="6"/>
      <c r="Y294" s="7"/>
      <c r="Z294" s="7"/>
      <c r="AA294" s="7"/>
      <c r="AB294" s="9"/>
      <c r="AD294" s="9"/>
      <c r="AF294" s="7"/>
    </row>
    <row r="295" ht="15.75" customHeight="1">
      <c r="W295" s="6"/>
      <c r="X295" s="6"/>
      <c r="Y295" s="7"/>
      <c r="Z295" s="7"/>
      <c r="AA295" s="7"/>
      <c r="AB295" s="9"/>
      <c r="AD295" s="9"/>
      <c r="AF295" s="7"/>
    </row>
    <row r="296" ht="15.75" customHeight="1">
      <c r="W296" s="6"/>
      <c r="X296" s="6"/>
      <c r="Y296" s="7"/>
      <c r="Z296" s="7"/>
      <c r="AA296" s="7"/>
      <c r="AB296" s="9"/>
      <c r="AD296" s="9"/>
      <c r="AF296" s="7"/>
    </row>
    <row r="297" ht="15.75" customHeight="1">
      <c r="W297" s="6"/>
      <c r="X297" s="6"/>
      <c r="Y297" s="7"/>
      <c r="Z297" s="7"/>
      <c r="AA297" s="7"/>
      <c r="AB297" s="9"/>
      <c r="AD297" s="9"/>
      <c r="AF297" s="7"/>
    </row>
    <row r="298" ht="15.75" customHeight="1">
      <c r="W298" s="6"/>
      <c r="X298" s="6"/>
      <c r="Y298" s="7"/>
      <c r="Z298" s="7"/>
      <c r="AA298" s="7"/>
      <c r="AB298" s="9"/>
      <c r="AD298" s="9"/>
      <c r="AF298" s="7"/>
    </row>
    <row r="299" ht="15.75" customHeight="1">
      <c r="W299" s="6"/>
      <c r="X299" s="6"/>
      <c r="Y299" s="7"/>
      <c r="Z299" s="7"/>
      <c r="AA299" s="7"/>
      <c r="AB299" s="9"/>
      <c r="AD299" s="9"/>
      <c r="AF299" s="7"/>
    </row>
    <row r="300" ht="15.75" customHeight="1">
      <c r="W300" s="6"/>
      <c r="X300" s="6"/>
      <c r="Y300" s="7"/>
      <c r="Z300" s="7"/>
      <c r="AA300" s="7"/>
      <c r="AB300" s="9"/>
      <c r="AD300" s="9"/>
      <c r="AF300" s="7"/>
    </row>
    <row r="301" ht="15.75" customHeight="1">
      <c r="W301" s="6"/>
      <c r="X301" s="6"/>
      <c r="Y301" s="7"/>
      <c r="Z301" s="7"/>
      <c r="AA301" s="7"/>
      <c r="AB301" s="9"/>
      <c r="AD301" s="9"/>
      <c r="AF301" s="7"/>
    </row>
    <row r="302" ht="15.75" customHeight="1">
      <c r="W302" s="6"/>
      <c r="X302" s="6"/>
      <c r="Y302" s="7"/>
      <c r="Z302" s="7"/>
      <c r="AA302" s="7"/>
      <c r="AB302" s="9"/>
      <c r="AD302" s="9"/>
      <c r="AF302" s="7"/>
    </row>
    <row r="303" ht="15.75" customHeight="1">
      <c r="W303" s="6"/>
      <c r="X303" s="6"/>
      <c r="Y303" s="7"/>
      <c r="Z303" s="7"/>
      <c r="AA303" s="7"/>
      <c r="AB303" s="9"/>
      <c r="AD303" s="9"/>
      <c r="AF303" s="7"/>
    </row>
    <row r="304" ht="15.75" customHeight="1">
      <c r="W304" s="6"/>
      <c r="X304" s="6"/>
      <c r="Y304" s="7"/>
      <c r="Z304" s="7"/>
      <c r="AA304" s="7"/>
      <c r="AB304" s="9"/>
      <c r="AD304" s="9"/>
      <c r="AF304" s="7"/>
    </row>
    <row r="305" ht="15.75" customHeight="1">
      <c r="W305" s="6"/>
      <c r="X305" s="6"/>
      <c r="Y305" s="7"/>
      <c r="Z305" s="7"/>
      <c r="AA305" s="7"/>
      <c r="AB305" s="9"/>
      <c r="AD305" s="9"/>
      <c r="AF305" s="7"/>
    </row>
    <row r="306" ht="15.75" customHeight="1">
      <c r="W306" s="6"/>
      <c r="X306" s="6"/>
      <c r="Y306" s="7"/>
      <c r="Z306" s="7"/>
      <c r="AA306" s="7"/>
      <c r="AB306" s="9"/>
      <c r="AD306" s="9"/>
      <c r="AF306" s="7"/>
    </row>
    <row r="307" ht="15.75" customHeight="1">
      <c r="W307" s="6"/>
      <c r="X307" s="6"/>
      <c r="Y307" s="7"/>
      <c r="Z307" s="7"/>
      <c r="AA307" s="7"/>
      <c r="AB307" s="9"/>
      <c r="AD307" s="9"/>
      <c r="AF307" s="7"/>
    </row>
    <row r="308" ht="15.75" customHeight="1">
      <c r="W308" s="6"/>
      <c r="X308" s="6"/>
      <c r="Y308" s="7"/>
      <c r="Z308" s="7"/>
      <c r="AA308" s="7"/>
      <c r="AB308" s="9"/>
      <c r="AD308" s="9"/>
      <c r="AF308" s="7"/>
    </row>
    <row r="309" ht="15.75" customHeight="1">
      <c r="W309" s="6"/>
      <c r="X309" s="6"/>
      <c r="Y309" s="7"/>
      <c r="Z309" s="7"/>
      <c r="AA309" s="7"/>
      <c r="AB309" s="9"/>
      <c r="AD309" s="9"/>
      <c r="AF309" s="7"/>
    </row>
    <row r="310" ht="15.75" customHeight="1">
      <c r="W310" s="6"/>
      <c r="X310" s="6"/>
      <c r="Y310" s="7"/>
      <c r="Z310" s="7"/>
      <c r="AA310" s="7"/>
      <c r="AB310" s="9"/>
      <c r="AD310" s="9"/>
      <c r="AF310" s="7"/>
    </row>
    <row r="311" ht="15.75" customHeight="1">
      <c r="W311" s="6"/>
      <c r="X311" s="6"/>
      <c r="Y311" s="7"/>
      <c r="Z311" s="7"/>
      <c r="AA311" s="7"/>
      <c r="AB311" s="9"/>
      <c r="AD311" s="9"/>
      <c r="AF311" s="7"/>
    </row>
    <row r="312" ht="15.75" customHeight="1">
      <c r="W312" s="6"/>
      <c r="X312" s="6"/>
      <c r="Y312" s="7"/>
      <c r="Z312" s="7"/>
      <c r="AA312" s="7"/>
      <c r="AB312" s="9"/>
      <c r="AD312" s="9"/>
      <c r="AF312" s="7"/>
    </row>
    <row r="313" ht="15.75" customHeight="1">
      <c r="W313" s="6"/>
      <c r="X313" s="6"/>
      <c r="Y313" s="7"/>
      <c r="Z313" s="7"/>
      <c r="AA313" s="7"/>
      <c r="AB313" s="9"/>
      <c r="AD313" s="9"/>
      <c r="AF313" s="7"/>
    </row>
    <row r="314" ht="15.75" customHeight="1">
      <c r="W314" s="6"/>
      <c r="X314" s="6"/>
      <c r="Y314" s="7"/>
      <c r="Z314" s="7"/>
      <c r="AA314" s="7"/>
      <c r="AB314" s="9"/>
      <c r="AD314" s="9"/>
      <c r="AF314" s="7"/>
    </row>
    <row r="315" ht="15.75" customHeight="1">
      <c r="W315" s="6"/>
      <c r="X315" s="6"/>
      <c r="Y315" s="7"/>
      <c r="Z315" s="7"/>
      <c r="AA315" s="7"/>
      <c r="AB315" s="9"/>
      <c r="AD315" s="9"/>
      <c r="AF315" s="7"/>
    </row>
    <row r="316" ht="15.75" customHeight="1">
      <c r="W316" s="6"/>
      <c r="X316" s="6"/>
      <c r="Y316" s="7"/>
      <c r="Z316" s="7"/>
      <c r="AA316" s="7"/>
      <c r="AB316" s="9"/>
      <c r="AD316" s="9"/>
      <c r="AF316" s="7"/>
    </row>
    <row r="317" ht="15.75" customHeight="1">
      <c r="W317" s="6"/>
      <c r="X317" s="6"/>
      <c r="Y317" s="7"/>
      <c r="Z317" s="7"/>
      <c r="AA317" s="7"/>
      <c r="AB317" s="9"/>
      <c r="AD317" s="9"/>
      <c r="AF317" s="7"/>
    </row>
    <row r="318" ht="15.75" customHeight="1">
      <c r="W318" s="6"/>
      <c r="X318" s="6"/>
      <c r="Y318" s="7"/>
      <c r="Z318" s="7"/>
      <c r="AA318" s="7"/>
      <c r="AB318" s="9"/>
      <c r="AD318" s="9"/>
      <c r="AF318" s="7"/>
    </row>
    <row r="319" ht="15.75" customHeight="1">
      <c r="W319" s="6"/>
      <c r="X319" s="6"/>
      <c r="Y319" s="7"/>
      <c r="Z319" s="7"/>
      <c r="AA319" s="7"/>
      <c r="AB319" s="9"/>
      <c r="AD319" s="9"/>
      <c r="AF319" s="7"/>
    </row>
    <row r="320" ht="15.75" customHeight="1">
      <c r="W320" s="6"/>
      <c r="X320" s="6"/>
      <c r="Y320" s="7"/>
      <c r="Z320" s="7"/>
      <c r="AA320" s="7"/>
      <c r="AB320" s="9"/>
      <c r="AD320" s="9"/>
      <c r="AF320" s="7"/>
    </row>
    <row r="321" ht="15.75" customHeight="1">
      <c r="W321" s="6"/>
      <c r="X321" s="6"/>
      <c r="Y321" s="7"/>
      <c r="Z321" s="7"/>
      <c r="AA321" s="7"/>
      <c r="AB321" s="9"/>
      <c r="AD321" s="9"/>
      <c r="AF321" s="7"/>
    </row>
    <row r="322" ht="15.75" customHeight="1">
      <c r="W322" s="6"/>
      <c r="X322" s="6"/>
      <c r="Y322" s="7"/>
      <c r="Z322" s="7"/>
      <c r="AA322" s="7"/>
      <c r="AB322" s="9"/>
      <c r="AD322" s="9"/>
      <c r="AF322" s="7"/>
    </row>
    <row r="323" ht="15.75" customHeight="1">
      <c r="W323" s="6"/>
      <c r="X323" s="6"/>
      <c r="Y323" s="7"/>
      <c r="Z323" s="7"/>
      <c r="AA323" s="7"/>
      <c r="AB323" s="9"/>
      <c r="AD323" s="9"/>
      <c r="AF323" s="7"/>
    </row>
    <row r="324" ht="15.75" customHeight="1">
      <c r="W324" s="6"/>
      <c r="X324" s="6"/>
      <c r="Y324" s="7"/>
      <c r="Z324" s="7"/>
      <c r="AA324" s="7"/>
      <c r="AB324" s="9"/>
      <c r="AD324" s="9"/>
      <c r="AF324" s="7"/>
    </row>
    <row r="325" ht="15.75" customHeight="1">
      <c r="W325" s="6"/>
      <c r="X325" s="6"/>
      <c r="Y325" s="7"/>
      <c r="Z325" s="7"/>
      <c r="AA325" s="7"/>
      <c r="AB325" s="9"/>
      <c r="AD325" s="9"/>
      <c r="AF325" s="7"/>
    </row>
    <row r="326" ht="15.75" customHeight="1">
      <c r="W326" s="6"/>
      <c r="X326" s="6"/>
      <c r="Y326" s="7"/>
      <c r="Z326" s="7"/>
      <c r="AA326" s="7"/>
      <c r="AB326" s="9"/>
      <c r="AD326" s="9"/>
      <c r="AF326" s="7"/>
    </row>
    <row r="327" ht="15.75" customHeight="1">
      <c r="W327" s="6"/>
      <c r="X327" s="6"/>
      <c r="Y327" s="7"/>
      <c r="Z327" s="7"/>
      <c r="AA327" s="7"/>
      <c r="AB327" s="9"/>
      <c r="AD327" s="9"/>
      <c r="AF327" s="7"/>
    </row>
    <row r="328" ht="15.75" customHeight="1">
      <c r="W328" s="6"/>
      <c r="X328" s="6"/>
      <c r="Y328" s="7"/>
      <c r="Z328" s="7"/>
      <c r="AA328" s="7"/>
      <c r="AB328" s="9"/>
      <c r="AD328" s="9"/>
      <c r="AF328" s="7"/>
    </row>
    <row r="329" ht="15.75" customHeight="1">
      <c r="W329" s="6"/>
      <c r="X329" s="6"/>
      <c r="Y329" s="7"/>
      <c r="Z329" s="7"/>
      <c r="AA329" s="7"/>
      <c r="AB329" s="9"/>
      <c r="AD329" s="9"/>
      <c r="AF329" s="7"/>
    </row>
    <row r="330" ht="15.75" customHeight="1">
      <c r="W330" s="6"/>
      <c r="X330" s="6"/>
      <c r="Y330" s="7"/>
      <c r="Z330" s="7"/>
      <c r="AA330" s="7"/>
      <c r="AB330" s="9"/>
      <c r="AD330" s="9"/>
      <c r="AF330" s="7"/>
    </row>
    <row r="331" ht="15.75" customHeight="1">
      <c r="W331" s="6"/>
      <c r="X331" s="6"/>
      <c r="Y331" s="7"/>
      <c r="Z331" s="7"/>
      <c r="AA331" s="7"/>
      <c r="AB331" s="9"/>
      <c r="AD331" s="9"/>
      <c r="AF331" s="7"/>
    </row>
    <row r="332" ht="15.75" customHeight="1">
      <c r="W332" s="6"/>
      <c r="X332" s="6"/>
      <c r="Y332" s="7"/>
      <c r="Z332" s="7"/>
      <c r="AA332" s="7"/>
      <c r="AB332" s="9"/>
      <c r="AD332" s="9"/>
      <c r="AF332" s="7"/>
    </row>
    <row r="333" ht="15.75" customHeight="1">
      <c r="W333" s="6"/>
      <c r="X333" s="6"/>
      <c r="Y333" s="7"/>
      <c r="Z333" s="7"/>
      <c r="AA333" s="7"/>
      <c r="AB333" s="9"/>
      <c r="AD333" s="9"/>
      <c r="AF333" s="7"/>
    </row>
    <row r="334" ht="15.75" customHeight="1">
      <c r="W334" s="6"/>
      <c r="X334" s="6"/>
      <c r="Y334" s="7"/>
      <c r="Z334" s="7"/>
      <c r="AA334" s="7"/>
      <c r="AB334" s="9"/>
      <c r="AD334" s="9"/>
      <c r="AF334" s="7"/>
    </row>
    <row r="335" ht="15.75" customHeight="1">
      <c r="W335" s="6"/>
      <c r="X335" s="6"/>
      <c r="Y335" s="7"/>
      <c r="Z335" s="7"/>
      <c r="AA335" s="7"/>
      <c r="AB335" s="9"/>
      <c r="AD335" s="9"/>
      <c r="AF335" s="7"/>
    </row>
    <row r="336" ht="15.75" customHeight="1">
      <c r="W336" s="6"/>
      <c r="X336" s="6"/>
      <c r="Y336" s="7"/>
      <c r="Z336" s="7"/>
      <c r="AA336" s="7"/>
      <c r="AB336" s="9"/>
      <c r="AD336" s="9"/>
      <c r="AF336" s="7"/>
    </row>
    <row r="337" ht="15.75" customHeight="1">
      <c r="W337" s="6"/>
      <c r="X337" s="6"/>
      <c r="Y337" s="7"/>
      <c r="Z337" s="7"/>
      <c r="AA337" s="7"/>
      <c r="AB337" s="9"/>
      <c r="AD337" s="9"/>
      <c r="AF337" s="7"/>
    </row>
    <row r="338" ht="15.75" customHeight="1">
      <c r="W338" s="6"/>
      <c r="X338" s="6"/>
      <c r="Y338" s="7"/>
      <c r="Z338" s="7"/>
      <c r="AA338" s="7"/>
      <c r="AB338" s="9"/>
      <c r="AD338" s="9"/>
      <c r="AF338" s="7"/>
    </row>
    <row r="339" ht="15.75" customHeight="1">
      <c r="W339" s="6"/>
      <c r="X339" s="6"/>
      <c r="Y339" s="7"/>
      <c r="Z339" s="7"/>
      <c r="AA339" s="7"/>
      <c r="AB339" s="9"/>
      <c r="AD339" s="9"/>
      <c r="AF339" s="7"/>
    </row>
    <row r="340" ht="15.75" customHeight="1">
      <c r="W340" s="6"/>
      <c r="X340" s="6"/>
      <c r="Y340" s="7"/>
      <c r="Z340" s="7"/>
      <c r="AA340" s="7"/>
      <c r="AB340" s="9"/>
      <c r="AD340" s="9"/>
      <c r="AF340" s="7"/>
    </row>
    <row r="341" ht="15.75" customHeight="1">
      <c r="W341" s="6"/>
      <c r="X341" s="6"/>
      <c r="Y341" s="7"/>
      <c r="Z341" s="7"/>
      <c r="AA341" s="7"/>
      <c r="AB341" s="9"/>
      <c r="AD341" s="9"/>
      <c r="AF341" s="7"/>
    </row>
    <row r="342" ht="15.75" customHeight="1">
      <c r="W342" s="6"/>
      <c r="X342" s="6"/>
      <c r="Y342" s="7"/>
      <c r="Z342" s="7"/>
      <c r="AA342" s="7"/>
      <c r="AB342" s="9"/>
      <c r="AD342" s="9"/>
      <c r="AF342" s="7"/>
    </row>
    <row r="343" ht="15.75" customHeight="1">
      <c r="W343" s="6"/>
      <c r="X343" s="6"/>
      <c r="Y343" s="7"/>
      <c r="Z343" s="7"/>
      <c r="AA343" s="7"/>
      <c r="AB343" s="9"/>
      <c r="AD343" s="9"/>
      <c r="AF343" s="7"/>
    </row>
    <row r="344" ht="15.75" customHeight="1">
      <c r="W344" s="6"/>
      <c r="X344" s="6"/>
      <c r="Y344" s="7"/>
      <c r="Z344" s="7"/>
      <c r="AA344" s="7"/>
      <c r="AB344" s="9"/>
      <c r="AD344" s="9"/>
      <c r="AF344" s="7"/>
    </row>
    <row r="345" ht="15.75" customHeight="1">
      <c r="W345" s="6"/>
      <c r="X345" s="6"/>
      <c r="Y345" s="7"/>
      <c r="Z345" s="7"/>
      <c r="AA345" s="7"/>
      <c r="AB345" s="9"/>
      <c r="AD345" s="9"/>
      <c r="AF345" s="7"/>
    </row>
    <row r="346" ht="15.75" customHeight="1">
      <c r="W346" s="6"/>
      <c r="X346" s="6"/>
      <c r="Y346" s="7"/>
      <c r="Z346" s="7"/>
      <c r="AA346" s="7"/>
      <c r="AB346" s="9"/>
      <c r="AD346" s="9"/>
      <c r="AF346" s="7"/>
    </row>
    <row r="347" ht="15.75" customHeight="1">
      <c r="W347" s="6"/>
      <c r="X347" s="6"/>
      <c r="Y347" s="7"/>
      <c r="Z347" s="7"/>
      <c r="AA347" s="7"/>
      <c r="AB347" s="9"/>
      <c r="AD347" s="9"/>
      <c r="AF347" s="7"/>
    </row>
    <row r="348" ht="15.75" customHeight="1">
      <c r="W348" s="6"/>
      <c r="X348" s="6"/>
      <c r="Y348" s="7"/>
      <c r="Z348" s="7"/>
      <c r="AA348" s="7"/>
      <c r="AB348" s="9"/>
      <c r="AD348" s="9"/>
      <c r="AF348" s="7"/>
    </row>
    <row r="349" ht="15.75" customHeight="1">
      <c r="W349" s="6"/>
      <c r="X349" s="6"/>
      <c r="Y349" s="7"/>
      <c r="Z349" s="7"/>
      <c r="AA349" s="7"/>
      <c r="AB349" s="9"/>
      <c r="AD349" s="9"/>
      <c r="AF349" s="7"/>
    </row>
    <row r="350" ht="15.75" customHeight="1">
      <c r="W350" s="6"/>
      <c r="X350" s="6"/>
      <c r="Y350" s="7"/>
      <c r="Z350" s="7"/>
      <c r="AA350" s="7"/>
      <c r="AB350" s="9"/>
      <c r="AD350" s="9"/>
      <c r="AF350" s="7"/>
    </row>
    <row r="351" ht="15.75" customHeight="1">
      <c r="W351" s="6"/>
      <c r="X351" s="6"/>
      <c r="Y351" s="7"/>
      <c r="Z351" s="7"/>
      <c r="AA351" s="7"/>
      <c r="AB351" s="9"/>
      <c r="AD351" s="9"/>
      <c r="AF351" s="7"/>
    </row>
    <row r="352" ht="15.75" customHeight="1">
      <c r="W352" s="6"/>
      <c r="X352" s="6"/>
      <c r="Y352" s="7"/>
      <c r="Z352" s="7"/>
      <c r="AA352" s="7"/>
      <c r="AB352" s="9"/>
      <c r="AD352" s="9"/>
      <c r="AF352" s="7"/>
    </row>
    <row r="353" ht="15.75" customHeight="1">
      <c r="W353" s="6"/>
      <c r="X353" s="6"/>
      <c r="Y353" s="7"/>
      <c r="Z353" s="7"/>
      <c r="AA353" s="7"/>
      <c r="AB353" s="9"/>
      <c r="AD353" s="9"/>
      <c r="AF353" s="7"/>
    </row>
    <row r="354" ht="15.75" customHeight="1">
      <c r="W354" s="6"/>
      <c r="X354" s="6"/>
      <c r="Y354" s="7"/>
      <c r="Z354" s="7"/>
      <c r="AA354" s="7"/>
      <c r="AB354" s="9"/>
      <c r="AD354" s="9"/>
      <c r="AF354" s="7"/>
    </row>
    <row r="355" ht="15.75" customHeight="1">
      <c r="W355" s="6"/>
      <c r="X355" s="6"/>
      <c r="Y355" s="7"/>
      <c r="Z355" s="7"/>
      <c r="AA355" s="7"/>
      <c r="AB355" s="9"/>
      <c r="AD355" s="9"/>
      <c r="AF355" s="7"/>
    </row>
    <row r="356" ht="15.75" customHeight="1">
      <c r="W356" s="6"/>
      <c r="X356" s="6"/>
      <c r="Y356" s="7"/>
      <c r="Z356" s="7"/>
      <c r="AA356" s="7"/>
      <c r="AB356" s="9"/>
      <c r="AD356" s="9"/>
      <c r="AF356" s="7"/>
    </row>
    <row r="357" ht="15.75" customHeight="1">
      <c r="W357" s="6"/>
      <c r="X357" s="6"/>
      <c r="Y357" s="7"/>
      <c r="Z357" s="7"/>
      <c r="AA357" s="7"/>
      <c r="AB357" s="9"/>
      <c r="AD357" s="9"/>
      <c r="AF357" s="7"/>
    </row>
    <row r="358" ht="15.75" customHeight="1">
      <c r="W358" s="6"/>
      <c r="X358" s="6"/>
      <c r="Y358" s="7"/>
      <c r="Z358" s="7"/>
      <c r="AA358" s="7"/>
      <c r="AB358" s="9"/>
      <c r="AD358" s="9"/>
      <c r="AF358" s="7"/>
    </row>
    <row r="359" ht="15.75" customHeight="1">
      <c r="W359" s="6"/>
      <c r="X359" s="6"/>
      <c r="Y359" s="7"/>
      <c r="Z359" s="7"/>
      <c r="AA359" s="7"/>
      <c r="AB359" s="9"/>
      <c r="AD359" s="9"/>
      <c r="AF359" s="7"/>
    </row>
    <row r="360" ht="15.75" customHeight="1">
      <c r="W360" s="6"/>
      <c r="X360" s="6"/>
      <c r="Y360" s="7"/>
      <c r="Z360" s="7"/>
      <c r="AA360" s="7"/>
      <c r="AB360" s="9"/>
      <c r="AD360" s="9"/>
      <c r="AF360" s="7"/>
    </row>
    <row r="361" ht="15.75" customHeight="1">
      <c r="W361" s="6"/>
      <c r="X361" s="6"/>
      <c r="Y361" s="7"/>
      <c r="Z361" s="7"/>
      <c r="AA361" s="7"/>
      <c r="AB361" s="9"/>
      <c r="AD361" s="9"/>
      <c r="AF361" s="7"/>
    </row>
    <row r="362" ht="15.75" customHeight="1">
      <c r="W362" s="6"/>
      <c r="X362" s="6"/>
      <c r="Y362" s="7"/>
      <c r="Z362" s="7"/>
      <c r="AA362" s="7"/>
      <c r="AB362" s="9"/>
      <c r="AD362" s="9"/>
      <c r="AF362" s="7"/>
    </row>
    <row r="363" ht="15.75" customHeight="1">
      <c r="W363" s="6"/>
      <c r="X363" s="6"/>
      <c r="Y363" s="7"/>
      <c r="Z363" s="7"/>
      <c r="AA363" s="7"/>
      <c r="AB363" s="9"/>
      <c r="AD363" s="9"/>
      <c r="AF363" s="7"/>
    </row>
    <row r="364" ht="15.75" customHeight="1">
      <c r="W364" s="6"/>
      <c r="X364" s="6"/>
      <c r="Y364" s="7"/>
      <c r="Z364" s="7"/>
      <c r="AA364" s="7"/>
      <c r="AB364" s="9"/>
      <c r="AD364" s="9"/>
      <c r="AF364" s="7"/>
    </row>
    <row r="365" ht="15.75" customHeight="1">
      <c r="W365" s="6"/>
      <c r="X365" s="6"/>
      <c r="Y365" s="7"/>
      <c r="Z365" s="7"/>
      <c r="AA365" s="7"/>
      <c r="AB365" s="9"/>
      <c r="AD365" s="9"/>
      <c r="AF365" s="7"/>
    </row>
    <row r="366" ht="15.75" customHeight="1">
      <c r="W366" s="6"/>
      <c r="X366" s="6"/>
      <c r="Y366" s="7"/>
      <c r="Z366" s="7"/>
      <c r="AA366" s="7"/>
      <c r="AB366" s="9"/>
      <c r="AD366" s="9"/>
      <c r="AF366" s="7"/>
    </row>
    <row r="367" ht="15.75" customHeight="1">
      <c r="W367" s="6"/>
      <c r="X367" s="6"/>
      <c r="Y367" s="7"/>
      <c r="Z367" s="7"/>
      <c r="AA367" s="7"/>
      <c r="AB367" s="9"/>
      <c r="AD367" s="9"/>
      <c r="AF367" s="7"/>
    </row>
    <row r="368" ht="15.75" customHeight="1">
      <c r="W368" s="6"/>
      <c r="X368" s="6"/>
      <c r="Y368" s="7"/>
      <c r="Z368" s="7"/>
      <c r="AA368" s="7"/>
      <c r="AB368" s="9"/>
      <c r="AD368" s="9"/>
      <c r="AF368" s="7"/>
    </row>
    <row r="369" ht="15.75" customHeight="1">
      <c r="W369" s="6"/>
      <c r="X369" s="6"/>
      <c r="Y369" s="7"/>
      <c r="Z369" s="7"/>
      <c r="AA369" s="7"/>
      <c r="AB369" s="9"/>
      <c r="AD369" s="9"/>
      <c r="AF369" s="7"/>
    </row>
    <row r="370" ht="15.75" customHeight="1">
      <c r="W370" s="6"/>
      <c r="X370" s="6"/>
      <c r="Y370" s="7"/>
      <c r="Z370" s="7"/>
      <c r="AA370" s="7"/>
      <c r="AB370" s="9"/>
      <c r="AD370" s="9"/>
      <c r="AF370" s="7"/>
    </row>
    <row r="371" ht="15.75" customHeight="1">
      <c r="W371" s="6"/>
      <c r="X371" s="6"/>
      <c r="Y371" s="7"/>
      <c r="Z371" s="7"/>
      <c r="AA371" s="7"/>
      <c r="AB371" s="9"/>
      <c r="AD371" s="9"/>
      <c r="AF371" s="7"/>
    </row>
    <row r="372" ht="15.75" customHeight="1">
      <c r="W372" s="6"/>
      <c r="X372" s="6"/>
      <c r="Y372" s="7"/>
      <c r="Z372" s="7"/>
      <c r="AA372" s="7"/>
      <c r="AB372" s="9"/>
      <c r="AD372" s="9"/>
      <c r="AF372" s="7"/>
    </row>
    <row r="373" ht="15.75" customHeight="1">
      <c r="W373" s="6"/>
      <c r="X373" s="6"/>
      <c r="Y373" s="7"/>
      <c r="Z373" s="7"/>
      <c r="AA373" s="7"/>
      <c r="AB373" s="9"/>
      <c r="AD373" s="9"/>
      <c r="AF373" s="7"/>
    </row>
    <row r="374" ht="15.75" customHeight="1">
      <c r="W374" s="6"/>
      <c r="X374" s="6"/>
      <c r="Y374" s="7"/>
      <c r="Z374" s="7"/>
      <c r="AA374" s="7"/>
      <c r="AB374" s="9"/>
      <c r="AD374" s="9"/>
      <c r="AF374" s="7"/>
    </row>
    <row r="375" ht="15.75" customHeight="1">
      <c r="W375" s="6"/>
      <c r="X375" s="6"/>
      <c r="Y375" s="7"/>
      <c r="Z375" s="7"/>
      <c r="AA375" s="7"/>
      <c r="AB375" s="9"/>
      <c r="AD375" s="9"/>
      <c r="AF375" s="7"/>
    </row>
    <row r="376" ht="15.75" customHeight="1">
      <c r="W376" s="6"/>
      <c r="X376" s="6"/>
      <c r="Y376" s="7"/>
      <c r="Z376" s="7"/>
      <c r="AA376" s="7"/>
      <c r="AB376" s="9"/>
      <c r="AD376" s="9"/>
      <c r="AF376" s="7"/>
    </row>
    <row r="377" ht="15.75" customHeight="1">
      <c r="W377" s="6"/>
      <c r="X377" s="6"/>
      <c r="Y377" s="7"/>
      <c r="Z377" s="7"/>
      <c r="AA377" s="7"/>
      <c r="AB377" s="9"/>
      <c r="AD377" s="9"/>
      <c r="AF377" s="7"/>
    </row>
    <row r="378" ht="15.75" customHeight="1">
      <c r="W378" s="6"/>
      <c r="X378" s="6"/>
      <c r="Y378" s="7"/>
      <c r="Z378" s="7"/>
      <c r="AA378" s="7"/>
      <c r="AB378" s="9"/>
      <c r="AD378" s="9"/>
      <c r="AF378" s="7"/>
    </row>
    <row r="379" ht="15.75" customHeight="1">
      <c r="W379" s="6"/>
      <c r="X379" s="6"/>
      <c r="Y379" s="7"/>
      <c r="Z379" s="7"/>
      <c r="AA379" s="7"/>
      <c r="AB379" s="9"/>
      <c r="AD379" s="9"/>
      <c r="AF379" s="7"/>
    </row>
    <row r="380" ht="15.75" customHeight="1">
      <c r="W380" s="6"/>
      <c r="X380" s="6"/>
      <c r="Y380" s="7"/>
      <c r="Z380" s="7"/>
      <c r="AA380" s="7"/>
      <c r="AB380" s="9"/>
      <c r="AD380" s="9"/>
      <c r="AF380" s="7"/>
    </row>
    <row r="381" ht="15.75" customHeight="1">
      <c r="W381" s="6"/>
      <c r="X381" s="6"/>
      <c r="Y381" s="7"/>
      <c r="Z381" s="7"/>
      <c r="AA381" s="7"/>
      <c r="AB381" s="9"/>
      <c r="AD381" s="9"/>
      <c r="AF381" s="7"/>
    </row>
    <row r="382" ht="15.75" customHeight="1">
      <c r="W382" s="6"/>
      <c r="X382" s="6"/>
      <c r="Y382" s="7"/>
      <c r="Z382" s="7"/>
      <c r="AA382" s="7"/>
      <c r="AB382" s="9"/>
      <c r="AD382" s="9"/>
      <c r="AF382" s="7"/>
    </row>
    <row r="383" ht="15.75" customHeight="1">
      <c r="W383" s="6"/>
      <c r="X383" s="6"/>
      <c r="Y383" s="7"/>
      <c r="Z383" s="7"/>
      <c r="AA383" s="7"/>
      <c r="AB383" s="9"/>
      <c r="AD383" s="9"/>
      <c r="AF383" s="7"/>
    </row>
    <row r="384" ht="15.75" customHeight="1">
      <c r="W384" s="6"/>
      <c r="X384" s="6"/>
      <c r="Y384" s="7"/>
      <c r="Z384" s="7"/>
      <c r="AA384" s="7"/>
      <c r="AB384" s="9"/>
      <c r="AD384" s="9"/>
      <c r="AF384" s="7"/>
    </row>
    <row r="385" ht="15.75" customHeight="1">
      <c r="W385" s="6"/>
      <c r="X385" s="6"/>
      <c r="Y385" s="7"/>
      <c r="Z385" s="7"/>
      <c r="AA385" s="7"/>
      <c r="AB385" s="9"/>
      <c r="AD385" s="9"/>
      <c r="AF385" s="7"/>
    </row>
    <row r="386" ht="15.75" customHeight="1">
      <c r="W386" s="6"/>
      <c r="X386" s="6"/>
      <c r="Y386" s="7"/>
      <c r="Z386" s="7"/>
      <c r="AA386" s="7"/>
      <c r="AB386" s="9"/>
      <c r="AD386" s="9"/>
      <c r="AF386" s="7"/>
    </row>
    <row r="387" ht="15.75" customHeight="1">
      <c r="W387" s="6"/>
      <c r="X387" s="6"/>
      <c r="Y387" s="7"/>
      <c r="Z387" s="7"/>
      <c r="AA387" s="7"/>
      <c r="AB387" s="9"/>
      <c r="AD387" s="9"/>
      <c r="AF387" s="7"/>
    </row>
    <row r="388" ht="15.75" customHeight="1">
      <c r="W388" s="6"/>
      <c r="X388" s="6"/>
      <c r="Y388" s="7"/>
      <c r="Z388" s="7"/>
      <c r="AA388" s="7"/>
      <c r="AB388" s="9"/>
      <c r="AD388" s="9"/>
      <c r="AF388" s="7"/>
    </row>
    <row r="389" ht="15.75" customHeight="1">
      <c r="W389" s="6"/>
      <c r="X389" s="6"/>
      <c r="Y389" s="7"/>
      <c r="Z389" s="7"/>
      <c r="AA389" s="7"/>
      <c r="AB389" s="9"/>
      <c r="AD389" s="9"/>
      <c r="AF389" s="7"/>
    </row>
    <row r="390" ht="15.75" customHeight="1">
      <c r="W390" s="6"/>
      <c r="X390" s="6"/>
      <c r="Y390" s="7"/>
      <c r="Z390" s="7"/>
      <c r="AA390" s="7"/>
      <c r="AB390" s="9"/>
      <c r="AD390" s="9"/>
      <c r="AF390" s="7"/>
    </row>
    <row r="391" ht="15.75" customHeight="1">
      <c r="W391" s="6"/>
      <c r="X391" s="6"/>
      <c r="Y391" s="7"/>
      <c r="Z391" s="7"/>
      <c r="AA391" s="7"/>
      <c r="AB391" s="9"/>
      <c r="AD391" s="9"/>
      <c r="AF391" s="7"/>
    </row>
    <row r="392" ht="15.75" customHeight="1">
      <c r="W392" s="6"/>
      <c r="X392" s="6"/>
      <c r="Y392" s="7"/>
      <c r="Z392" s="7"/>
      <c r="AA392" s="7"/>
      <c r="AB392" s="9"/>
      <c r="AD392" s="9"/>
      <c r="AF392" s="7"/>
    </row>
    <row r="393" ht="15.75" customHeight="1">
      <c r="W393" s="6"/>
      <c r="X393" s="6"/>
      <c r="Y393" s="7"/>
      <c r="Z393" s="7"/>
      <c r="AA393" s="7"/>
      <c r="AB393" s="9"/>
      <c r="AD393" s="9"/>
      <c r="AF393" s="7"/>
    </row>
    <row r="394" ht="15.75" customHeight="1">
      <c r="W394" s="6"/>
      <c r="X394" s="6"/>
      <c r="Y394" s="7"/>
      <c r="Z394" s="7"/>
      <c r="AA394" s="7"/>
      <c r="AB394" s="9"/>
      <c r="AD394" s="9"/>
      <c r="AF394" s="7"/>
    </row>
    <row r="395" ht="15.75" customHeight="1">
      <c r="W395" s="6"/>
      <c r="X395" s="6"/>
      <c r="Y395" s="7"/>
      <c r="Z395" s="7"/>
      <c r="AA395" s="7"/>
      <c r="AB395" s="9"/>
      <c r="AD395" s="9"/>
      <c r="AF395" s="7"/>
    </row>
    <row r="396" ht="15.75" customHeight="1">
      <c r="W396" s="6"/>
      <c r="X396" s="6"/>
      <c r="Y396" s="7"/>
      <c r="Z396" s="7"/>
      <c r="AA396" s="7"/>
      <c r="AB396" s="9"/>
      <c r="AD396" s="9"/>
      <c r="AF396" s="7"/>
    </row>
    <row r="397" ht="15.75" customHeight="1">
      <c r="W397" s="6"/>
      <c r="X397" s="6"/>
      <c r="Y397" s="7"/>
      <c r="Z397" s="7"/>
      <c r="AA397" s="7"/>
      <c r="AB397" s="9"/>
      <c r="AD397" s="9"/>
      <c r="AF397" s="7"/>
    </row>
    <row r="398" ht="15.75" customHeight="1">
      <c r="W398" s="6"/>
      <c r="X398" s="6"/>
      <c r="Y398" s="7"/>
      <c r="Z398" s="7"/>
      <c r="AA398" s="7"/>
      <c r="AB398" s="9"/>
      <c r="AD398" s="9"/>
      <c r="AF398" s="7"/>
    </row>
    <row r="399" ht="15.75" customHeight="1">
      <c r="W399" s="6"/>
      <c r="X399" s="6"/>
      <c r="Y399" s="7"/>
      <c r="Z399" s="7"/>
      <c r="AA399" s="7"/>
      <c r="AB399" s="9"/>
      <c r="AD399" s="9"/>
      <c r="AF399" s="7"/>
    </row>
    <row r="400" ht="15.75" customHeight="1">
      <c r="W400" s="6"/>
      <c r="X400" s="6"/>
      <c r="Y400" s="7"/>
      <c r="Z400" s="7"/>
      <c r="AA400" s="7"/>
      <c r="AB400" s="9"/>
      <c r="AD400" s="9"/>
      <c r="AF400" s="7"/>
    </row>
    <row r="401" ht="15.75" customHeight="1">
      <c r="W401" s="6"/>
      <c r="X401" s="6"/>
      <c r="Y401" s="7"/>
      <c r="Z401" s="7"/>
      <c r="AA401" s="7"/>
      <c r="AB401" s="9"/>
      <c r="AD401" s="9"/>
      <c r="AF401" s="7"/>
    </row>
    <row r="402" ht="15.75" customHeight="1">
      <c r="W402" s="6"/>
      <c r="X402" s="6"/>
      <c r="Y402" s="7"/>
      <c r="Z402" s="7"/>
      <c r="AA402" s="7"/>
      <c r="AB402" s="9"/>
      <c r="AD402" s="9"/>
      <c r="AF402" s="7"/>
    </row>
    <row r="403" ht="15.75" customHeight="1">
      <c r="W403" s="6"/>
      <c r="X403" s="6"/>
      <c r="Y403" s="7"/>
      <c r="Z403" s="7"/>
      <c r="AA403" s="7"/>
      <c r="AB403" s="9"/>
      <c r="AD403" s="9"/>
      <c r="AF403" s="7"/>
    </row>
    <row r="404" ht="15.75" customHeight="1">
      <c r="W404" s="6"/>
      <c r="X404" s="6"/>
      <c r="Y404" s="7"/>
      <c r="Z404" s="7"/>
      <c r="AA404" s="7"/>
      <c r="AB404" s="9"/>
      <c r="AD404" s="9"/>
      <c r="AF404" s="7"/>
    </row>
    <row r="405" ht="15.75" customHeight="1">
      <c r="W405" s="6"/>
      <c r="X405" s="6"/>
      <c r="Y405" s="7"/>
      <c r="Z405" s="7"/>
      <c r="AA405" s="7"/>
      <c r="AB405" s="9"/>
      <c r="AD405" s="9"/>
      <c r="AF405" s="7"/>
    </row>
    <row r="406" ht="15.75" customHeight="1">
      <c r="W406" s="6"/>
      <c r="X406" s="6"/>
      <c r="Y406" s="7"/>
      <c r="Z406" s="7"/>
      <c r="AA406" s="7"/>
      <c r="AB406" s="9"/>
      <c r="AD406" s="9"/>
      <c r="AF406" s="7"/>
    </row>
    <row r="407" ht="15.75" customHeight="1">
      <c r="W407" s="6"/>
      <c r="X407" s="6"/>
      <c r="Y407" s="7"/>
      <c r="Z407" s="7"/>
      <c r="AA407" s="7"/>
      <c r="AB407" s="9"/>
      <c r="AD407" s="9"/>
      <c r="AF407" s="7"/>
    </row>
    <row r="408" ht="15.75" customHeight="1">
      <c r="W408" s="6"/>
      <c r="X408" s="6"/>
      <c r="Y408" s="7"/>
      <c r="Z408" s="7"/>
      <c r="AA408" s="7"/>
      <c r="AB408" s="9"/>
      <c r="AD408" s="9"/>
      <c r="AF408" s="7"/>
    </row>
    <row r="409" ht="15.75" customHeight="1">
      <c r="W409" s="6"/>
      <c r="X409" s="6"/>
      <c r="Y409" s="7"/>
      <c r="Z409" s="7"/>
      <c r="AA409" s="7"/>
      <c r="AB409" s="9"/>
      <c r="AD409" s="9"/>
      <c r="AF409" s="7"/>
    </row>
    <row r="410" ht="15.75" customHeight="1">
      <c r="W410" s="6"/>
      <c r="X410" s="6"/>
      <c r="Y410" s="7"/>
      <c r="Z410" s="7"/>
      <c r="AA410" s="7"/>
      <c r="AB410" s="9"/>
      <c r="AD410" s="9"/>
      <c r="AF410" s="7"/>
    </row>
    <row r="411" ht="15.75" customHeight="1">
      <c r="W411" s="6"/>
      <c r="X411" s="6"/>
      <c r="Y411" s="7"/>
      <c r="Z411" s="7"/>
      <c r="AA411" s="7"/>
      <c r="AB411" s="9"/>
      <c r="AD411" s="9"/>
      <c r="AF411" s="7"/>
    </row>
    <row r="412" ht="15.75" customHeight="1">
      <c r="W412" s="6"/>
      <c r="X412" s="6"/>
      <c r="Y412" s="7"/>
      <c r="Z412" s="7"/>
      <c r="AA412" s="7"/>
      <c r="AB412" s="9"/>
      <c r="AD412" s="9"/>
      <c r="AF412" s="7"/>
    </row>
    <row r="413" ht="15.75" customHeight="1">
      <c r="W413" s="6"/>
      <c r="X413" s="6"/>
      <c r="Y413" s="7"/>
      <c r="Z413" s="7"/>
      <c r="AA413" s="7"/>
      <c r="AB413" s="9"/>
      <c r="AD413" s="9"/>
      <c r="AF413" s="7"/>
    </row>
    <row r="414" ht="15.75" customHeight="1">
      <c r="W414" s="6"/>
      <c r="X414" s="6"/>
      <c r="Y414" s="7"/>
      <c r="Z414" s="7"/>
      <c r="AA414" s="7"/>
      <c r="AB414" s="9"/>
      <c r="AD414" s="9"/>
      <c r="AF414" s="7"/>
    </row>
    <row r="415" ht="15.75" customHeight="1">
      <c r="W415" s="6"/>
      <c r="X415" s="6"/>
      <c r="Y415" s="7"/>
      <c r="Z415" s="7"/>
      <c r="AA415" s="7"/>
      <c r="AB415" s="9"/>
      <c r="AD415" s="9"/>
      <c r="AF415" s="7"/>
    </row>
    <row r="416" ht="15.75" customHeight="1">
      <c r="W416" s="6"/>
      <c r="X416" s="6"/>
      <c r="Y416" s="7"/>
      <c r="Z416" s="7"/>
      <c r="AA416" s="7"/>
      <c r="AB416" s="9"/>
      <c r="AD416" s="9"/>
      <c r="AF416" s="7"/>
    </row>
    <row r="417" ht="15.75" customHeight="1">
      <c r="W417" s="6"/>
      <c r="X417" s="6"/>
      <c r="Y417" s="7"/>
      <c r="Z417" s="7"/>
      <c r="AA417" s="7"/>
      <c r="AB417" s="9"/>
      <c r="AD417" s="9"/>
      <c r="AF417" s="7"/>
    </row>
    <row r="418" ht="15.75" customHeight="1">
      <c r="W418" s="6"/>
      <c r="X418" s="6"/>
      <c r="Y418" s="7"/>
      <c r="Z418" s="7"/>
      <c r="AA418" s="7"/>
      <c r="AB418" s="9"/>
      <c r="AD418" s="9"/>
      <c r="AF418" s="7"/>
    </row>
    <row r="419" ht="15.75" customHeight="1">
      <c r="W419" s="6"/>
      <c r="X419" s="6"/>
      <c r="Y419" s="7"/>
      <c r="Z419" s="7"/>
      <c r="AA419" s="7"/>
      <c r="AB419" s="9"/>
      <c r="AD419" s="9"/>
      <c r="AF419" s="7"/>
    </row>
    <row r="420" ht="15.75" customHeight="1">
      <c r="W420" s="6"/>
      <c r="X420" s="6"/>
      <c r="Y420" s="7"/>
      <c r="Z420" s="7"/>
      <c r="AA420" s="7"/>
      <c r="AB420" s="9"/>
      <c r="AD420" s="9"/>
      <c r="AF420" s="7"/>
    </row>
    <row r="421" ht="15.75" customHeight="1">
      <c r="W421" s="6"/>
      <c r="X421" s="6"/>
      <c r="Y421" s="7"/>
      <c r="Z421" s="7"/>
      <c r="AA421" s="7"/>
      <c r="AB421" s="9"/>
      <c r="AD421" s="9"/>
      <c r="AF421" s="7"/>
    </row>
    <row r="422" ht="15.75" customHeight="1">
      <c r="W422" s="6"/>
      <c r="X422" s="6"/>
      <c r="Y422" s="7"/>
      <c r="Z422" s="7"/>
      <c r="AA422" s="7"/>
      <c r="AB422" s="9"/>
      <c r="AD422" s="9"/>
      <c r="AF422" s="7"/>
    </row>
    <row r="423" ht="15.75" customHeight="1">
      <c r="W423" s="6"/>
      <c r="X423" s="6"/>
      <c r="Y423" s="7"/>
      <c r="Z423" s="7"/>
      <c r="AA423" s="7"/>
      <c r="AB423" s="9"/>
      <c r="AD423" s="9"/>
      <c r="AF423" s="7"/>
    </row>
    <row r="424" ht="15.75" customHeight="1">
      <c r="W424" s="6"/>
      <c r="X424" s="6"/>
      <c r="Y424" s="7"/>
      <c r="Z424" s="7"/>
      <c r="AA424" s="7"/>
      <c r="AB424" s="9"/>
      <c r="AD424" s="9"/>
      <c r="AF424" s="7"/>
    </row>
    <row r="425" ht="15.75" customHeight="1">
      <c r="W425" s="6"/>
      <c r="X425" s="6"/>
      <c r="Y425" s="7"/>
      <c r="Z425" s="7"/>
      <c r="AA425" s="7"/>
      <c r="AB425" s="9"/>
      <c r="AD425" s="9"/>
      <c r="AF425" s="7"/>
    </row>
    <row r="426" ht="15.75" customHeight="1">
      <c r="W426" s="6"/>
      <c r="X426" s="6"/>
      <c r="Y426" s="7"/>
      <c r="Z426" s="7"/>
      <c r="AA426" s="7"/>
      <c r="AB426" s="9"/>
      <c r="AD426" s="9"/>
      <c r="AF426" s="7"/>
    </row>
    <row r="427" ht="15.75" customHeight="1">
      <c r="W427" s="6"/>
      <c r="X427" s="6"/>
      <c r="Y427" s="7"/>
      <c r="Z427" s="7"/>
      <c r="AA427" s="7"/>
      <c r="AB427" s="9"/>
      <c r="AD427" s="9"/>
      <c r="AF427" s="7"/>
    </row>
    <row r="428" ht="15.75" customHeight="1">
      <c r="W428" s="6"/>
      <c r="X428" s="6"/>
      <c r="Y428" s="7"/>
      <c r="Z428" s="7"/>
      <c r="AA428" s="7"/>
      <c r="AB428" s="9"/>
      <c r="AD428" s="9"/>
      <c r="AF428" s="7"/>
    </row>
    <row r="429" ht="15.75" customHeight="1">
      <c r="W429" s="6"/>
      <c r="X429" s="6"/>
      <c r="Y429" s="7"/>
      <c r="Z429" s="7"/>
      <c r="AA429" s="7"/>
      <c r="AB429" s="9"/>
      <c r="AD429" s="9"/>
      <c r="AF429" s="7"/>
    </row>
    <row r="430" ht="15.75" customHeight="1">
      <c r="W430" s="6"/>
      <c r="X430" s="6"/>
      <c r="Y430" s="7"/>
      <c r="Z430" s="7"/>
      <c r="AA430" s="7"/>
      <c r="AB430" s="9"/>
      <c r="AD430" s="9"/>
      <c r="AF430" s="7"/>
    </row>
    <row r="431" ht="15.75" customHeight="1">
      <c r="W431" s="6"/>
      <c r="X431" s="6"/>
      <c r="Y431" s="7"/>
      <c r="Z431" s="7"/>
      <c r="AA431" s="7"/>
      <c r="AB431" s="9"/>
      <c r="AD431" s="9"/>
      <c r="AF431" s="7"/>
    </row>
    <row r="432" ht="15.75" customHeight="1">
      <c r="W432" s="6"/>
      <c r="X432" s="6"/>
      <c r="Y432" s="7"/>
      <c r="Z432" s="7"/>
      <c r="AA432" s="7"/>
      <c r="AB432" s="9"/>
      <c r="AD432" s="9"/>
      <c r="AF432" s="7"/>
    </row>
    <row r="433" ht="15.75" customHeight="1">
      <c r="W433" s="6"/>
      <c r="X433" s="6"/>
      <c r="Y433" s="7"/>
      <c r="Z433" s="7"/>
      <c r="AA433" s="7"/>
      <c r="AB433" s="9"/>
      <c r="AD433" s="9"/>
      <c r="AF433" s="7"/>
    </row>
    <row r="434" ht="15.75" customHeight="1">
      <c r="W434" s="6"/>
      <c r="X434" s="6"/>
      <c r="Y434" s="7"/>
      <c r="Z434" s="7"/>
      <c r="AA434" s="7"/>
      <c r="AB434" s="9"/>
      <c r="AD434" s="9"/>
      <c r="AF434" s="7"/>
    </row>
    <row r="435" ht="15.75" customHeight="1">
      <c r="W435" s="6"/>
      <c r="X435" s="6"/>
      <c r="Y435" s="7"/>
      <c r="Z435" s="7"/>
      <c r="AA435" s="7"/>
      <c r="AB435" s="9"/>
      <c r="AD435" s="9"/>
      <c r="AF435" s="7"/>
    </row>
    <row r="436" ht="15.75" customHeight="1">
      <c r="W436" s="6"/>
      <c r="X436" s="6"/>
      <c r="Y436" s="7"/>
      <c r="Z436" s="7"/>
      <c r="AA436" s="7"/>
      <c r="AB436" s="9"/>
      <c r="AD436" s="9"/>
      <c r="AF436" s="7"/>
    </row>
    <row r="437" ht="15.75" customHeight="1">
      <c r="W437" s="6"/>
      <c r="X437" s="6"/>
      <c r="Y437" s="7"/>
      <c r="Z437" s="7"/>
      <c r="AA437" s="7"/>
      <c r="AB437" s="9"/>
      <c r="AD437" s="9"/>
      <c r="AF437" s="7"/>
    </row>
    <row r="438" ht="15.75" customHeight="1">
      <c r="W438" s="6"/>
      <c r="X438" s="6"/>
      <c r="Y438" s="7"/>
      <c r="Z438" s="7"/>
      <c r="AA438" s="7"/>
      <c r="AB438" s="9"/>
      <c r="AD438" s="9"/>
      <c r="AF438" s="7"/>
    </row>
    <row r="439" ht="15.75" customHeight="1">
      <c r="W439" s="6"/>
      <c r="X439" s="6"/>
      <c r="Y439" s="7"/>
      <c r="Z439" s="7"/>
      <c r="AA439" s="7"/>
      <c r="AB439" s="9"/>
      <c r="AD439" s="9"/>
      <c r="AF439" s="7"/>
    </row>
    <row r="440" ht="15.75" customHeight="1">
      <c r="W440" s="6"/>
      <c r="X440" s="6"/>
      <c r="Y440" s="7"/>
      <c r="Z440" s="7"/>
      <c r="AA440" s="7"/>
      <c r="AB440" s="9"/>
      <c r="AD440" s="9"/>
      <c r="AF440" s="7"/>
    </row>
    <row r="441" ht="15.75" customHeight="1">
      <c r="W441" s="6"/>
      <c r="X441" s="6"/>
      <c r="Y441" s="7"/>
      <c r="Z441" s="7"/>
      <c r="AA441" s="7"/>
      <c r="AB441" s="9"/>
      <c r="AD441" s="9"/>
      <c r="AF441" s="7"/>
    </row>
    <row r="442" ht="15.75" customHeight="1">
      <c r="W442" s="6"/>
      <c r="X442" s="6"/>
      <c r="Y442" s="7"/>
      <c r="Z442" s="7"/>
      <c r="AA442" s="7"/>
      <c r="AB442" s="9"/>
      <c r="AD442" s="9"/>
      <c r="AF442" s="7"/>
    </row>
    <row r="443" ht="15.75" customHeight="1">
      <c r="W443" s="6"/>
      <c r="X443" s="6"/>
      <c r="Y443" s="7"/>
      <c r="Z443" s="7"/>
      <c r="AA443" s="7"/>
      <c r="AB443" s="9"/>
      <c r="AD443" s="9"/>
      <c r="AF443" s="7"/>
    </row>
    <row r="444" ht="15.75" customHeight="1">
      <c r="W444" s="6"/>
      <c r="X444" s="6"/>
      <c r="Y444" s="7"/>
      <c r="Z444" s="7"/>
      <c r="AA444" s="7"/>
      <c r="AB444" s="9"/>
      <c r="AD444" s="9"/>
      <c r="AF444" s="7"/>
    </row>
    <row r="445" ht="15.75" customHeight="1">
      <c r="W445" s="6"/>
      <c r="X445" s="6"/>
      <c r="Y445" s="7"/>
      <c r="Z445" s="7"/>
      <c r="AA445" s="7"/>
      <c r="AB445" s="9"/>
      <c r="AD445" s="9"/>
      <c r="AF445" s="7"/>
    </row>
    <row r="446" ht="15.75" customHeight="1">
      <c r="W446" s="6"/>
      <c r="X446" s="6"/>
      <c r="Y446" s="7"/>
      <c r="Z446" s="7"/>
      <c r="AA446" s="7"/>
      <c r="AB446" s="9"/>
      <c r="AD446" s="9"/>
      <c r="AF446" s="7"/>
    </row>
    <row r="447" ht="15.75" customHeight="1">
      <c r="W447" s="6"/>
      <c r="X447" s="6"/>
      <c r="Y447" s="7"/>
      <c r="Z447" s="7"/>
      <c r="AA447" s="7"/>
      <c r="AB447" s="9"/>
      <c r="AD447" s="9"/>
      <c r="AF447" s="7"/>
    </row>
    <row r="448" ht="15.75" customHeight="1">
      <c r="W448" s="6"/>
      <c r="X448" s="6"/>
      <c r="Y448" s="7"/>
      <c r="Z448" s="7"/>
      <c r="AA448" s="7"/>
      <c r="AB448" s="9"/>
      <c r="AD448" s="9"/>
      <c r="AF448" s="7"/>
    </row>
    <row r="449" ht="15.75" customHeight="1">
      <c r="W449" s="6"/>
      <c r="X449" s="6"/>
      <c r="Y449" s="7"/>
      <c r="Z449" s="7"/>
      <c r="AA449" s="7"/>
      <c r="AB449" s="9"/>
      <c r="AD449" s="9"/>
      <c r="AF449" s="7"/>
    </row>
    <row r="450" ht="15.75" customHeight="1">
      <c r="W450" s="6"/>
      <c r="X450" s="6"/>
      <c r="Y450" s="7"/>
      <c r="Z450" s="7"/>
      <c r="AA450" s="7"/>
      <c r="AB450" s="9"/>
      <c r="AD450" s="9"/>
      <c r="AF450" s="7"/>
    </row>
    <row r="451" ht="15.75" customHeight="1">
      <c r="W451" s="6"/>
      <c r="X451" s="6"/>
      <c r="Y451" s="7"/>
      <c r="Z451" s="7"/>
      <c r="AA451" s="7"/>
      <c r="AB451" s="9"/>
      <c r="AD451" s="9"/>
      <c r="AF451" s="7"/>
    </row>
    <row r="452" ht="15.75" customHeight="1">
      <c r="W452" s="6"/>
      <c r="X452" s="6"/>
      <c r="Y452" s="7"/>
      <c r="Z452" s="7"/>
      <c r="AA452" s="7"/>
      <c r="AB452" s="9"/>
      <c r="AD452" s="9"/>
      <c r="AF452" s="7"/>
    </row>
    <row r="453" ht="15.75" customHeight="1">
      <c r="W453" s="6"/>
      <c r="X453" s="6"/>
      <c r="Y453" s="7"/>
      <c r="Z453" s="7"/>
      <c r="AA453" s="7"/>
      <c r="AB453" s="9"/>
      <c r="AD453" s="9"/>
      <c r="AF453" s="7"/>
    </row>
    <row r="454" ht="15.75" customHeight="1">
      <c r="W454" s="6"/>
      <c r="X454" s="6"/>
      <c r="Y454" s="7"/>
      <c r="Z454" s="7"/>
      <c r="AA454" s="7"/>
      <c r="AB454" s="9"/>
      <c r="AD454" s="9"/>
      <c r="AF454" s="7"/>
    </row>
    <row r="455" ht="15.75" customHeight="1">
      <c r="W455" s="6"/>
      <c r="X455" s="6"/>
      <c r="Y455" s="7"/>
      <c r="Z455" s="7"/>
      <c r="AA455" s="7"/>
      <c r="AB455" s="9"/>
      <c r="AD455" s="9"/>
      <c r="AF455" s="7"/>
    </row>
    <row r="456" ht="15.75" customHeight="1">
      <c r="W456" s="6"/>
      <c r="X456" s="6"/>
      <c r="Y456" s="7"/>
      <c r="Z456" s="7"/>
      <c r="AA456" s="7"/>
      <c r="AB456" s="9"/>
      <c r="AD456" s="9"/>
      <c r="AF456" s="7"/>
    </row>
    <row r="457" ht="15.75" customHeight="1">
      <c r="W457" s="6"/>
      <c r="X457" s="6"/>
      <c r="Y457" s="7"/>
      <c r="Z457" s="7"/>
      <c r="AA457" s="7"/>
      <c r="AB457" s="9"/>
      <c r="AD457" s="9"/>
      <c r="AF457" s="7"/>
    </row>
    <row r="458" ht="15.75" customHeight="1">
      <c r="W458" s="6"/>
      <c r="X458" s="6"/>
      <c r="Y458" s="7"/>
      <c r="Z458" s="7"/>
      <c r="AA458" s="7"/>
      <c r="AB458" s="9"/>
      <c r="AD458" s="9"/>
      <c r="AF458" s="7"/>
    </row>
    <row r="459" ht="15.75" customHeight="1">
      <c r="W459" s="6"/>
      <c r="X459" s="6"/>
      <c r="Y459" s="7"/>
      <c r="Z459" s="7"/>
      <c r="AA459" s="7"/>
      <c r="AB459" s="9"/>
      <c r="AD459" s="9"/>
      <c r="AF459" s="7"/>
    </row>
    <row r="460" ht="15.75" customHeight="1">
      <c r="W460" s="6"/>
      <c r="X460" s="6"/>
      <c r="Y460" s="7"/>
      <c r="Z460" s="7"/>
      <c r="AA460" s="7"/>
      <c r="AB460" s="9"/>
      <c r="AD460" s="9"/>
      <c r="AF460" s="7"/>
    </row>
    <row r="461" ht="15.75" customHeight="1">
      <c r="W461" s="6"/>
      <c r="X461" s="6"/>
      <c r="Y461" s="7"/>
      <c r="Z461" s="7"/>
      <c r="AA461" s="7"/>
      <c r="AB461" s="9"/>
      <c r="AD461" s="9"/>
      <c r="AF461" s="7"/>
    </row>
    <row r="462" ht="15.75" customHeight="1">
      <c r="W462" s="6"/>
      <c r="X462" s="6"/>
      <c r="Y462" s="7"/>
      <c r="Z462" s="7"/>
      <c r="AA462" s="7"/>
      <c r="AB462" s="9"/>
      <c r="AD462" s="9"/>
      <c r="AF462" s="7"/>
    </row>
    <row r="463" ht="15.75" customHeight="1">
      <c r="W463" s="6"/>
      <c r="X463" s="6"/>
      <c r="Y463" s="7"/>
      <c r="Z463" s="7"/>
      <c r="AA463" s="7"/>
      <c r="AB463" s="9"/>
      <c r="AD463" s="9"/>
      <c r="AF463" s="7"/>
    </row>
    <row r="464" ht="15.75" customHeight="1">
      <c r="W464" s="6"/>
      <c r="X464" s="6"/>
      <c r="Y464" s="7"/>
      <c r="Z464" s="7"/>
      <c r="AA464" s="7"/>
      <c r="AB464" s="9"/>
      <c r="AD464" s="9"/>
      <c r="AF464" s="7"/>
    </row>
    <row r="465" ht="15.75" customHeight="1">
      <c r="W465" s="6"/>
      <c r="X465" s="6"/>
      <c r="Y465" s="7"/>
      <c r="Z465" s="7"/>
      <c r="AA465" s="7"/>
      <c r="AB465" s="9"/>
      <c r="AD465" s="9"/>
      <c r="AF465" s="7"/>
    </row>
    <row r="466" ht="15.75" customHeight="1">
      <c r="W466" s="6"/>
      <c r="X466" s="6"/>
      <c r="Y466" s="7"/>
      <c r="Z466" s="7"/>
      <c r="AA466" s="7"/>
      <c r="AB466" s="9"/>
      <c r="AD466" s="9"/>
      <c r="AF466" s="7"/>
    </row>
    <row r="467" ht="15.75" customHeight="1">
      <c r="W467" s="6"/>
      <c r="X467" s="6"/>
      <c r="Y467" s="7"/>
      <c r="Z467" s="7"/>
      <c r="AA467" s="7"/>
      <c r="AB467" s="9"/>
      <c r="AD467" s="9"/>
      <c r="AF467" s="7"/>
    </row>
    <row r="468" ht="15.75" customHeight="1">
      <c r="W468" s="6"/>
      <c r="X468" s="6"/>
      <c r="Y468" s="7"/>
      <c r="Z468" s="7"/>
      <c r="AA468" s="7"/>
      <c r="AB468" s="9"/>
      <c r="AD468" s="9"/>
      <c r="AF468" s="7"/>
    </row>
    <row r="469" ht="15.75" customHeight="1">
      <c r="W469" s="6"/>
      <c r="X469" s="6"/>
      <c r="Y469" s="7"/>
      <c r="Z469" s="7"/>
      <c r="AA469" s="7"/>
      <c r="AB469" s="9"/>
      <c r="AD469" s="9"/>
      <c r="AF469" s="7"/>
    </row>
    <row r="470" ht="15.75" customHeight="1">
      <c r="W470" s="6"/>
      <c r="X470" s="6"/>
      <c r="Y470" s="7"/>
      <c r="Z470" s="7"/>
      <c r="AA470" s="7"/>
      <c r="AB470" s="9"/>
      <c r="AD470" s="9"/>
      <c r="AF470" s="7"/>
    </row>
    <row r="471" ht="15.75" customHeight="1">
      <c r="W471" s="6"/>
      <c r="X471" s="6"/>
      <c r="Y471" s="7"/>
      <c r="Z471" s="7"/>
      <c r="AA471" s="7"/>
      <c r="AB471" s="9"/>
      <c r="AD471" s="9"/>
      <c r="AF471" s="7"/>
    </row>
    <row r="472" ht="15.75" customHeight="1">
      <c r="W472" s="6"/>
      <c r="X472" s="6"/>
      <c r="Y472" s="7"/>
      <c r="Z472" s="7"/>
      <c r="AA472" s="7"/>
      <c r="AB472" s="9"/>
      <c r="AD472" s="9"/>
      <c r="AF472" s="7"/>
    </row>
    <row r="473" ht="15.75" customHeight="1">
      <c r="W473" s="6"/>
      <c r="X473" s="6"/>
      <c r="Y473" s="7"/>
      <c r="Z473" s="7"/>
      <c r="AA473" s="7"/>
      <c r="AB473" s="9"/>
      <c r="AD473" s="9"/>
      <c r="AF473" s="7"/>
    </row>
    <row r="474" ht="15.75" customHeight="1">
      <c r="W474" s="6"/>
      <c r="X474" s="6"/>
      <c r="Y474" s="7"/>
      <c r="Z474" s="7"/>
      <c r="AA474" s="7"/>
      <c r="AB474" s="9"/>
      <c r="AD474" s="9"/>
      <c r="AF474" s="7"/>
    </row>
    <row r="475" ht="15.75" customHeight="1">
      <c r="W475" s="6"/>
      <c r="X475" s="6"/>
      <c r="Y475" s="7"/>
      <c r="Z475" s="7"/>
      <c r="AA475" s="7"/>
      <c r="AB475" s="9"/>
      <c r="AD475" s="9"/>
      <c r="AF475" s="7"/>
    </row>
    <row r="476" ht="15.75" customHeight="1">
      <c r="W476" s="6"/>
      <c r="X476" s="6"/>
      <c r="Y476" s="7"/>
      <c r="Z476" s="7"/>
      <c r="AA476" s="7"/>
      <c r="AB476" s="9"/>
      <c r="AD476" s="9"/>
      <c r="AF476" s="7"/>
    </row>
    <row r="477" ht="15.75" customHeight="1">
      <c r="W477" s="6"/>
      <c r="X477" s="6"/>
      <c r="Y477" s="7"/>
      <c r="Z477" s="7"/>
      <c r="AA477" s="7"/>
      <c r="AB477" s="9"/>
      <c r="AD477" s="9"/>
      <c r="AF477" s="7"/>
    </row>
    <row r="478" ht="15.75" customHeight="1">
      <c r="W478" s="6"/>
      <c r="X478" s="6"/>
      <c r="Y478" s="7"/>
      <c r="Z478" s="7"/>
      <c r="AA478" s="7"/>
      <c r="AB478" s="9"/>
      <c r="AD478" s="9"/>
      <c r="AF478" s="7"/>
    </row>
    <row r="479" ht="15.75" customHeight="1">
      <c r="W479" s="6"/>
      <c r="X479" s="6"/>
      <c r="Y479" s="7"/>
      <c r="Z479" s="7"/>
      <c r="AA479" s="7"/>
      <c r="AB479" s="9"/>
      <c r="AD479" s="9"/>
      <c r="AF479" s="7"/>
    </row>
    <row r="480" ht="15.75" customHeight="1">
      <c r="W480" s="6"/>
      <c r="X480" s="6"/>
      <c r="Y480" s="7"/>
      <c r="Z480" s="7"/>
      <c r="AA480" s="7"/>
      <c r="AB480" s="9"/>
      <c r="AD480" s="9"/>
      <c r="AF480" s="7"/>
    </row>
    <row r="481" ht="15.75" customHeight="1">
      <c r="W481" s="6"/>
      <c r="X481" s="6"/>
      <c r="Y481" s="7"/>
      <c r="Z481" s="7"/>
      <c r="AA481" s="7"/>
      <c r="AB481" s="9"/>
      <c r="AD481" s="9"/>
      <c r="AF481" s="7"/>
    </row>
    <row r="482" ht="15.75" customHeight="1">
      <c r="W482" s="6"/>
      <c r="X482" s="6"/>
      <c r="Y482" s="7"/>
      <c r="Z482" s="7"/>
      <c r="AA482" s="7"/>
      <c r="AB482" s="9"/>
      <c r="AD482" s="9"/>
      <c r="AF482" s="7"/>
    </row>
    <row r="483" ht="15.75" customHeight="1">
      <c r="W483" s="6"/>
      <c r="X483" s="6"/>
      <c r="Y483" s="7"/>
      <c r="Z483" s="7"/>
      <c r="AA483" s="7"/>
      <c r="AB483" s="9"/>
      <c r="AD483" s="9"/>
      <c r="AF483" s="7"/>
    </row>
    <row r="484" ht="15.75" customHeight="1">
      <c r="W484" s="6"/>
      <c r="X484" s="6"/>
      <c r="Y484" s="7"/>
      <c r="Z484" s="7"/>
      <c r="AA484" s="7"/>
      <c r="AB484" s="9"/>
      <c r="AD484" s="9"/>
      <c r="AF484" s="7"/>
    </row>
    <row r="485" ht="15.75" customHeight="1">
      <c r="W485" s="6"/>
      <c r="X485" s="6"/>
      <c r="Y485" s="7"/>
      <c r="Z485" s="7"/>
      <c r="AA485" s="7"/>
      <c r="AB485" s="9"/>
      <c r="AD485" s="9"/>
      <c r="AF485" s="7"/>
    </row>
    <row r="486" ht="15.75" customHeight="1">
      <c r="W486" s="6"/>
      <c r="X486" s="6"/>
      <c r="Y486" s="7"/>
      <c r="Z486" s="7"/>
      <c r="AA486" s="7"/>
      <c r="AB486" s="9"/>
      <c r="AD486" s="9"/>
      <c r="AF486" s="7"/>
    </row>
    <row r="487" ht="15.75" customHeight="1">
      <c r="W487" s="6"/>
      <c r="X487" s="6"/>
      <c r="Y487" s="7"/>
      <c r="Z487" s="7"/>
      <c r="AA487" s="7"/>
      <c r="AB487" s="9"/>
      <c r="AD487" s="9"/>
      <c r="AF487" s="7"/>
    </row>
    <row r="488" ht="15.75" customHeight="1">
      <c r="W488" s="6"/>
      <c r="X488" s="6"/>
      <c r="Y488" s="7"/>
      <c r="Z488" s="7"/>
      <c r="AA488" s="7"/>
      <c r="AB488" s="9"/>
      <c r="AD488" s="9"/>
      <c r="AF488" s="7"/>
    </row>
    <row r="489" ht="15.75" customHeight="1">
      <c r="W489" s="6"/>
      <c r="X489" s="6"/>
      <c r="Y489" s="7"/>
      <c r="Z489" s="7"/>
      <c r="AA489" s="7"/>
      <c r="AB489" s="9"/>
      <c r="AD489" s="9"/>
      <c r="AF489" s="7"/>
    </row>
    <row r="490" ht="15.75" customHeight="1">
      <c r="W490" s="6"/>
      <c r="X490" s="6"/>
      <c r="Y490" s="7"/>
      <c r="Z490" s="7"/>
      <c r="AA490" s="7"/>
      <c r="AB490" s="9"/>
      <c r="AD490" s="9"/>
      <c r="AF490" s="7"/>
    </row>
    <row r="491" ht="15.75" customHeight="1">
      <c r="W491" s="6"/>
      <c r="X491" s="6"/>
      <c r="Y491" s="7"/>
      <c r="Z491" s="7"/>
      <c r="AA491" s="7"/>
      <c r="AB491" s="9"/>
      <c r="AD491" s="9"/>
      <c r="AF491" s="7"/>
    </row>
    <row r="492" ht="15.75" customHeight="1">
      <c r="W492" s="6"/>
      <c r="X492" s="6"/>
      <c r="Y492" s="7"/>
      <c r="Z492" s="7"/>
      <c r="AA492" s="7"/>
      <c r="AB492" s="9"/>
      <c r="AD492" s="9"/>
      <c r="AF492" s="7"/>
    </row>
    <row r="493" ht="15.75" customHeight="1">
      <c r="W493" s="6"/>
      <c r="X493" s="6"/>
      <c r="Y493" s="7"/>
      <c r="Z493" s="7"/>
      <c r="AA493" s="7"/>
      <c r="AB493" s="9"/>
      <c r="AD493" s="9"/>
      <c r="AF493" s="7"/>
    </row>
    <row r="494" ht="15.75" customHeight="1">
      <c r="W494" s="6"/>
      <c r="X494" s="6"/>
      <c r="Y494" s="7"/>
      <c r="Z494" s="7"/>
      <c r="AA494" s="7"/>
      <c r="AB494" s="9"/>
      <c r="AD494" s="9"/>
      <c r="AF494" s="7"/>
    </row>
    <row r="495" ht="15.75" customHeight="1">
      <c r="W495" s="6"/>
      <c r="X495" s="6"/>
      <c r="Y495" s="7"/>
      <c r="Z495" s="7"/>
      <c r="AA495" s="7"/>
      <c r="AB495" s="9"/>
      <c r="AD495" s="9"/>
      <c r="AF495" s="7"/>
    </row>
    <row r="496" ht="15.75" customHeight="1">
      <c r="W496" s="6"/>
      <c r="X496" s="6"/>
      <c r="Y496" s="7"/>
      <c r="Z496" s="7"/>
      <c r="AA496" s="7"/>
      <c r="AB496" s="9"/>
      <c r="AD496" s="9"/>
      <c r="AF496" s="7"/>
    </row>
    <row r="497" ht="15.75" customHeight="1">
      <c r="W497" s="6"/>
      <c r="X497" s="6"/>
      <c r="Y497" s="7"/>
      <c r="Z497" s="7"/>
      <c r="AA497" s="7"/>
      <c r="AB497" s="9"/>
      <c r="AD497" s="9"/>
      <c r="AF497" s="7"/>
    </row>
    <row r="498" ht="15.75" customHeight="1">
      <c r="W498" s="6"/>
      <c r="X498" s="6"/>
      <c r="Y498" s="7"/>
      <c r="Z498" s="7"/>
      <c r="AA498" s="7"/>
      <c r="AB498" s="9"/>
      <c r="AD498" s="9"/>
      <c r="AF498" s="7"/>
    </row>
    <row r="499" ht="15.75" customHeight="1">
      <c r="W499" s="6"/>
      <c r="X499" s="6"/>
      <c r="Y499" s="7"/>
      <c r="Z499" s="7"/>
      <c r="AA499" s="7"/>
      <c r="AB499" s="9"/>
      <c r="AD499" s="9"/>
      <c r="AF499" s="7"/>
    </row>
    <row r="500" ht="15.75" customHeight="1">
      <c r="W500" s="6"/>
      <c r="X500" s="6"/>
      <c r="Y500" s="7"/>
      <c r="Z500" s="7"/>
      <c r="AA500" s="7"/>
      <c r="AB500" s="9"/>
      <c r="AD500" s="9"/>
      <c r="AF500" s="7"/>
    </row>
    <row r="501" ht="15.75" customHeight="1">
      <c r="W501" s="6"/>
      <c r="X501" s="6"/>
      <c r="Y501" s="7"/>
      <c r="Z501" s="7"/>
      <c r="AA501" s="7"/>
      <c r="AB501" s="9"/>
      <c r="AD501" s="9"/>
      <c r="AF501" s="7"/>
    </row>
    <row r="502" ht="15.75" customHeight="1">
      <c r="W502" s="6"/>
      <c r="X502" s="6"/>
      <c r="Y502" s="7"/>
      <c r="Z502" s="7"/>
      <c r="AA502" s="7"/>
      <c r="AB502" s="9"/>
      <c r="AD502" s="9"/>
      <c r="AF502" s="7"/>
    </row>
    <row r="503" ht="15.75" customHeight="1">
      <c r="W503" s="6"/>
      <c r="X503" s="6"/>
      <c r="Y503" s="7"/>
      <c r="Z503" s="7"/>
      <c r="AA503" s="7"/>
      <c r="AB503" s="9"/>
      <c r="AD503" s="9"/>
      <c r="AF503" s="7"/>
    </row>
    <row r="504" ht="15.75" customHeight="1">
      <c r="W504" s="6"/>
      <c r="X504" s="6"/>
      <c r="Y504" s="7"/>
      <c r="Z504" s="7"/>
      <c r="AA504" s="7"/>
      <c r="AB504" s="9"/>
      <c r="AD504" s="9"/>
      <c r="AF504" s="7"/>
    </row>
    <row r="505" ht="15.75" customHeight="1">
      <c r="W505" s="6"/>
      <c r="X505" s="6"/>
      <c r="Y505" s="7"/>
      <c r="Z505" s="7"/>
      <c r="AA505" s="7"/>
      <c r="AB505" s="9"/>
      <c r="AD505" s="9"/>
      <c r="AF505" s="7"/>
    </row>
    <row r="506" ht="15.75" customHeight="1">
      <c r="W506" s="6"/>
      <c r="X506" s="6"/>
      <c r="Y506" s="7"/>
      <c r="Z506" s="7"/>
      <c r="AA506" s="7"/>
      <c r="AB506" s="9"/>
      <c r="AD506" s="9"/>
      <c r="AF506" s="7"/>
    </row>
    <row r="507" ht="15.75" customHeight="1">
      <c r="W507" s="6"/>
      <c r="X507" s="6"/>
      <c r="Y507" s="7"/>
      <c r="Z507" s="7"/>
      <c r="AA507" s="7"/>
      <c r="AB507" s="9"/>
      <c r="AD507" s="9"/>
      <c r="AF507" s="7"/>
    </row>
    <row r="508" ht="15.75" customHeight="1">
      <c r="W508" s="6"/>
      <c r="X508" s="6"/>
      <c r="Y508" s="7"/>
      <c r="Z508" s="7"/>
      <c r="AA508" s="7"/>
      <c r="AB508" s="9"/>
      <c r="AD508" s="9"/>
      <c r="AF508" s="7"/>
    </row>
    <row r="509" ht="15.75" customHeight="1">
      <c r="W509" s="6"/>
      <c r="X509" s="6"/>
      <c r="Y509" s="7"/>
      <c r="Z509" s="7"/>
      <c r="AA509" s="7"/>
      <c r="AB509" s="9"/>
      <c r="AD509" s="9"/>
      <c r="AF509" s="7"/>
    </row>
    <row r="510" ht="15.75" customHeight="1">
      <c r="W510" s="6"/>
      <c r="X510" s="6"/>
      <c r="Y510" s="7"/>
      <c r="Z510" s="7"/>
      <c r="AA510" s="7"/>
      <c r="AB510" s="9"/>
      <c r="AD510" s="9"/>
      <c r="AF510" s="7"/>
    </row>
    <row r="511" ht="15.75" customHeight="1">
      <c r="W511" s="6"/>
      <c r="X511" s="6"/>
      <c r="Y511" s="7"/>
      <c r="Z511" s="7"/>
      <c r="AA511" s="7"/>
      <c r="AB511" s="9"/>
      <c r="AD511" s="9"/>
      <c r="AF511" s="7"/>
    </row>
    <row r="512" ht="15.75" customHeight="1">
      <c r="W512" s="6"/>
      <c r="X512" s="6"/>
      <c r="Y512" s="7"/>
      <c r="Z512" s="7"/>
      <c r="AA512" s="7"/>
      <c r="AB512" s="9"/>
      <c r="AD512" s="9"/>
      <c r="AF512" s="7"/>
    </row>
    <row r="513" ht="15.75" customHeight="1">
      <c r="W513" s="6"/>
      <c r="X513" s="6"/>
      <c r="Y513" s="7"/>
      <c r="Z513" s="7"/>
      <c r="AA513" s="7"/>
      <c r="AB513" s="9"/>
      <c r="AD513" s="9"/>
      <c r="AF513" s="7"/>
    </row>
    <row r="514" ht="15.75" customHeight="1">
      <c r="W514" s="6"/>
      <c r="X514" s="6"/>
      <c r="Y514" s="7"/>
      <c r="Z514" s="7"/>
      <c r="AA514" s="7"/>
      <c r="AB514" s="9"/>
      <c r="AD514" s="9"/>
      <c r="AF514" s="7"/>
    </row>
    <row r="515" ht="15.75" customHeight="1">
      <c r="W515" s="6"/>
      <c r="X515" s="6"/>
      <c r="Y515" s="7"/>
      <c r="Z515" s="7"/>
      <c r="AA515" s="7"/>
      <c r="AB515" s="9"/>
      <c r="AD515" s="9"/>
      <c r="AF515" s="7"/>
    </row>
    <row r="516" ht="15.75" customHeight="1">
      <c r="W516" s="6"/>
      <c r="X516" s="6"/>
      <c r="Y516" s="7"/>
      <c r="Z516" s="7"/>
      <c r="AA516" s="7"/>
      <c r="AB516" s="9"/>
      <c r="AD516" s="9"/>
      <c r="AF516" s="7"/>
    </row>
    <row r="517" ht="15.75" customHeight="1">
      <c r="W517" s="6"/>
      <c r="X517" s="6"/>
      <c r="Y517" s="7"/>
      <c r="Z517" s="7"/>
      <c r="AA517" s="7"/>
      <c r="AB517" s="9"/>
      <c r="AD517" s="9"/>
      <c r="AF517" s="7"/>
    </row>
    <row r="518" ht="15.75" customHeight="1">
      <c r="W518" s="6"/>
      <c r="X518" s="6"/>
      <c r="Y518" s="7"/>
      <c r="Z518" s="7"/>
      <c r="AA518" s="7"/>
      <c r="AB518" s="9"/>
      <c r="AD518" s="9"/>
      <c r="AF518" s="7"/>
    </row>
    <row r="519" ht="15.75" customHeight="1">
      <c r="W519" s="6"/>
      <c r="X519" s="6"/>
      <c r="Y519" s="7"/>
      <c r="Z519" s="7"/>
      <c r="AA519" s="7"/>
      <c r="AB519" s="9"/>
      <c r="AD519" s="9"/>
      <c r="AF519" s="7"/>
    </row>
    <row r="520" ht="15.75" customHeight="1">
      <c r="W520" s="6"/>
      <c r="X520" s="6"/>
      <c r="Y520" s="7"/>
      <c r="Z520" s="7"/>
      <c r="AA520" s="7"/>
      <c r="AB520" s="9"/>
      <c r="AD520" s="9"/>
      <c r="AF520" s="7"/>
    </row>
    <row r="521" ht="15.75" customHeight="1">
      <c r="W521" s="6"/>
      <c r="X521" s="6"/>
      <c r="Y521" s="7"/>
      <c r="Z521" s="7"/>
      <c r="AA521" s="7"/>
      <c r="AB521" s="9"/>
      <c r="AD521" s="9"/>
      <c r="AF521" s="7"/>
    </row>
    <row r="522" ht="15.75" customHeight="1">
      <c r="W522" s="6"/>
      <c r="X522" s="6"/>
      <c r="Y522" s="7"/>
      <c r="Z522" s="7"/>
      <c r="AA522" s="7"/>
      <c r="AB522" s="9"/>
      <c r="AD522" s="9"/>
      <c r="AF522" s="7"/>
    </row>
    <row r="523" ht="15.75" customHeight="1">
      <c r="W523" s="6"/>
      <c r="X523" s="6"/>
      <c r="Y523" s="7"/>
      <c r="Z523" s="7"/>
      <c r="AA523" s="7"/>
      <c r="AB523" s="9"/>
      <c r="AD523" s="9"/>
      <c r="AF523" s="7"/>
    </row>
    <row r="524" ht="15.75" customHeight="1">
      <c r="W524" s="6"/>
      <c r="X524" s="6"/>
      <c r="Y524" s="7"/>
      <c r="Z524" s="7"/>
      <c r="AA524" s="7"/>
      <c r="AB524" s="9"/>
      <c r="AD524" s="9"/>
      <c r="AF524" s="7"/>
    </row>
    <row r="525" ht="15.75" customHeight="1">
      <c r="W525" s="6"/>
      <c r="X525" s="6"/>
      <c r="Y525" s="7"/>
      <c r="Z525" s="7"/>
      <c r="AA525" s="7"/>
      <c r="AB525" s="9"/>
      <c r="AD525" s="9"/>
      <c r="AF525" s="7"/>
    </row>
    <row r="526" ht="15.75" customHeight="1">
      <c r="W526" s="6"/>
      <c r="X526" s="6"/>
      <c r="Y526" s="7"/>
      <c r="Z526" s="7"/>
      <c r="AA526" s="7"/>
      <c r="AB526" s="9"/>
      <c r="AD526" s="9"/>
      <c r="AF526" s="7"/>
    </row>
    <row r="527" ht="15.75" customHeight="1">
      <c r="W527" s="6"/>
      <c r="X527" s="6"/>
      <c r="Y527" s="7"/>
      <c r="Z527" s="7"/>
      <c r="AA527" s="7"/>
      <c r="AB527" s="9"/>
      <c r="AD527" s="9"/>
      <c r="AF527" s="7"/>
    </row>
    <row r="528" ht="15.75" customHeight="1">
      <c r="W528" s="6"/>
      <c r="X528" s="6"/>
      <c r="Y528" s="7"/>
      <c r="Z528" s="7"/>
      <c r="AA528" s="7"/>
      <c r="AB528" s="9"/>
      <c r="AD528" s="9"/>
      <c r="AF528" s="7"/>
    </row>
    <row r="529" ht="15.75" customHeight="1">
      <c r="W529" s="6"/>
      <c r="X529" s="6"/>
      <c r="Y529" s="7"/>
      <c r="Z529" s="7"/>
      <c r="AA529" s="7"/>
      <c r="AB529" s="9"/>
      <c r="AD529" s="9"/>
      <c r="AF529" s="7"/>
    </row>
    <row r="530" ht="15.75" customHeight="1">
      <c r="W530" s="6"/>
      <c r="X530" s="6"/>
      <c r="Y530" s="7"/>
      <c r="Z530" s="7"/>
      <c r="AA530" s="7"/>
      <c r="AB530" s="9"/>
      <c r="AD530" s="9"/>
      <c r="AF530" s="7"/>
    </row>
    <row r="531" ht="15.75" customHeight="1">
      <c r="W531" s="6"/>
      <c r="X531" s="6"/>
      <c r="Y531" s="7"/>
      <c r="Z531" s="7"/>
      <c r="AA531" s="7"/>
      <c r="AB531" s="9"/>
      <c r="AD531" s="9"/>
      <c r="AF531" s="7"/>
    </row>
    <row r="532" ht="15.75" customHeight="1">
      <c r="W532" s="6"/>
      <c r="X532" s="6"/>
      <c r="Y532" s="7"/>
      <c r="Z532" s="7"/>
      <c r="AA532" s="7"/>
      <c r="AB532" s="9"/>
      <c r="AD532" s="9"/>
      <c r="AF532" s="7"/>
    </row>
    <row r="533" ht="15.75" customHeight="1">
      <c r="W533" s="6"/>
      <c r="X533" s="6"/>
      <c r="Y533" s="7"/>
      <c r="Z533" s="7"/>
      <c r="AA533" s="7"/>
      <c r="AB533" s="9"/>
      <c r="AD533" s="9"/>
      <c r="AF533" s="7"/>
    </row>
    <row r="534" ht="15.75" customHeight="1">
      <c r="W534" s="6"/>
      <c r="X534" s="6"/>
      <c r="Y534" s="7"/>
      <c r="Z534" s="7"/>
      <c r="AA534" s="7"/>
      <c r="AB534" s="9"/>
      <c r="AD534" s="9"/>
      <c r="AF534" s="7"/>
    </row>
    <row r="535" ht="15.75" customHeight="1">
      <c r="W535" s="6"/>
      <c r="X535" s="6"/>
      <c r="Y535" s="7"/>
      <c r="Z535" s="7"/>
      <c r="AA535" s="7"/>
      <c r="AB535" s="9"/>
      <c r="AD535" s="9"/>
      <c r="AF535" s="7"/>
    </row>
    <row r="536" ht="15.75" customHeight="1">
      <c r="W536" s="6"/>
      <c r="X536" s="6"/>
      <c r="Y536" s="7"/>
      <c r="Z536" s="7"/>
      <c r="AA536" s="7"/>
      <c r="AB536" s="9"/>
      <c r="AD536" s="9"/>
      <c r="AF536" s="7"/>
    </row>
    <row r="537" ht="15.75" customHeight="1">
      <c r="W537" s="6"/>
      <c r="X537" s="6"/>
      <c r="Y537" s="7"/>
      <c r="Z537" s="7"/>
      <c r="AA537" s="7"/>
      <c r="AB537" s="9"/>
      <c r="AD537" s="9"/>
      <c r="AF537" s="7"/>
    </row>
    <row r="538" ht="15.75" customHeight="1">
      <c r="W538" s="6"/>
      <c r="X538" s="6"/>
      <c r="Y538" s="7"/>
      <c r="Z538" s="7"/>
      <c r="AA538" s="7"/>
      <c r="AB538" s="9"/>
      <c r="AD538" s="9"/>
      <c r="AF538" s="7"/>
    </row>
    <row r="539" ht="15.75" customHeight="1">
      <c r="W539" s="6"/>
      <c r="X539" s="6"/>
      <c r="Y539" s="7"/>
      <c r="Z539" s="7"/>
      <c r="AA539" s="7"/>
      <c r="AB539" s="9"/>
      <c r="AD539" s="9"/>
      <c r="AF539" s="7"/>
    </row>
    <row r="540" ht="15.75" customHeight="1">
      <c r="W540" s="6"/>
      <c r="X540" s="6"/>
      <c r="Y540" s="7"/>
      <c r="Z540" s="7"/>
      <c r="AA540" s="7"/>
      <c r="AB540" s="9"/>
      <c r="AD540" s="9"/>
      <c r="AF540" s="7"/>
    </row>
    <row r="541" ht="15.75" customHeight="1">
      <c r="W541" s="6"/>
      <c r="X541" s="6"/>
      <c r="Y541" s="7"/>
      <c r="Z541" s="7"/>
      <c r="AA541" s="7"/>
      <c r="AB541" s="9"/>
      <c r="AD541" s="9"/>
      <c r="AF541" s="7"/>
    </row>
    <row r="542" ht="15.75" customHeight="1">
      <c r="W542" s="6"/>
      <c r="X542" s="6"/>
      <c r="Y542" s="7"/>
      <c r="Z542" s="7"/>
      <c r="AA542" s="7"/>
      <c r="AB542" s="9"/>
      <c r="AD542" s="9"/>
      <c r="AF542" s="7"/>
    </row>
    <row r="543" ht="15.75" customHeight="1">
      <c r="W543" s="6"/>
      <c r="X543" s="6"/>
      <c r="Y543" s="7"/>
      <c r="Z543" s="7"/>
      <c r="AA543" s="7"/>
      <c r="AB543" s="9"/>
      <c r="AD543" s="9"/>
      <c r="AF543" s="7"/>
    </row>
    <row r="544" ht="15.75" customHeight="1">
      <c r="W544" s="6"/>
      <c r="X544" s="6"/>
      <c r="Y544" s="7"/>
      <c r="Z544" s="7"/>
      <c r="AA544" s="7"/>
      <c r="AB544" s="9"/>
      <c r="AD544" s="9"/>
      <c r="AF544" s="7"/>
    </row>
    <row r="545" ht="15.75" customHeight="1">
      <c r="W545" s="6"/>
      <c r="X545" s="6"/>
      <c r="Y545" s="7"/>
      <c r="Z545" s="7"/>
      <c r="AA545" s="7"/>
      <c r="AB545" s="9"/>
      <c r="AD545" s="9"/>
      <c r="AF545" s="7"/>
    </row>
    <row r="546" ht="15.75" customHeight="1">
      <c r="W546" s="6"/>
      <c r="X546" s="6"/>
      <c r="Y546" s="7"/>
      <c r="Z546" s="7"/>
      <c r="AA546" s="7"/>
      <c r="AB546" s="9"/>
      <c r="AD546" s="9"/>
      <c r="AF546" s="7"/>
    </row>
    <row r="547" ht="15.75" customHeight="1">
      <c r="W547" s="6"/>
      <c r="X547" s="6"/>
      <c r="Y547" s="7"/>
      <c r="Z547" s="7"/>
      <c r="AA547" s="7"/>
      <c r="AB547" s="9"/>
      <c r="AD547" s="9"/>
      <c r="AF547" s="7"/>
    </row>
    <row r="548" ht="15.75" customHeight="1">
      <c r="W548" s="6"/>
      <c r="X548" s="6"/>
      <c r="Y548" s="7"/>
      <c r="Z548" s="7"/>
      <c r="AA548" s="7"/>
      <c r="AB548" s="9"/>
      <c r="AD548" s="9"/>
      <c r="AF548" s="7"/>
    </row>
    <row r="549" ht="15.75" customHeight="1">
      <c r="W549" s="6"/>
      <c r="X549" s="6"/>
      <c r="Y549" s="7"/>
      <c r="Z549" s="7"/>
      <c r="AA549" s="7"/>
      <c r="AB549" s="9"/>
      <c r="AD549" s="9"/>
      <c r="AF549" s="7"/>
    </row>
    <row r="550" ht="15.75" customHeight="1">
      <c r="W550" s="6"/>
      <c r="X550" s="6"/>
      <c r="Y550" s="7"/>
      <c r="Z550" s="7"/>
      <c r="AA550" s="7"/>
      <c r="AB550" s="9"/>
      <c r="AD550" s="9"/>
      <c r="AF550" s="7"/>
    </row>
    <row r="551" ht="15.75" customHeight="1">
      <c r="W551" s="6"/>
      <c r="X551" s="6"/>
      <c r="Y551" s="7"/>
      <c r="Z551" s="7"/>
      <c r="AA551" s="7"/>
      <c r="AB551" s="9"/>
      <c r="AD551" s="9"/>
      <c r="AF551" s="7"/>
    </row>
    <row r="552" ht="15.75" customHeight="1">
      <c r="W552" s="6"/>
      <c r="X552" s="6"/>
      <c r="Y552" s="7"/>
      <c r="Z552" s="7"/>
      <c r="AA552" s="7"/>
      <c r="AB552" s="9"/>
      <c r="AD552" s="9"/>
      <c r="AF552" s="7"/>
    </row>
    <row r="553" ht="15.75" customHeight="1">
      <c r="W553" s="6"/>
      <c r="X553" s="6"/>
      <c r="Y553" s="7"/>
      <c r="Z553" s="7"/>
      <c r="AA553" s="7"/>
      <c r="AB553" s="9"/>
      <c r="AD553" s="9"/>
      <c r="AF553" s="7"/>
    </row>
    <row r="554" ht="15.75" customHeight="1">
      <c r="W554" s="6"/>
      <c r="X554" s="6"/>
      <c r="Y554" s="7"/>
      <c r="Z554" s="7"/>
      <c r="AA554" s="7"/>
      <c r="AB554" s="9"/>
      <c r="AD554" s="9"/>
      <c r="AF554" s="7"/>
    </row>
    <row r="555" ht="15.75" customHeight="1">
      <c r="W555" s="6"/>
      <c r="X555" s="6"/>
      <c r="Y555" s="7"/>
      <c r="Z555" s="7"/>
      <c r="AA555" s="7"/>
      <c r="AB555" s="9"/>
      <c r="AD555" s="9"/>
      <c r="AF555" s="7"/>
    </row>
    <row r="556" ht="15.75" customHeight="1">
      <c r="W556" s="6"/>
      <c r="X556" s="6"/>
      <c r="Y556" s="7"/>
      <c r="Z556" s="7"/>
      <c r="AA556" s="7"/>
      <c r="AB556" s="9"/>
      <c r="AD556" s="9"/>
      <c r="AF556" s="7"/>
    </row>
    <row r="557" ht="15.75" customHeight="1">
      <c r="W557" s="6"/>
      <c r="X557" s="6"/>
      <c r="Y557" s="7"/>
      <c r="Z557" s="7"/>
      <c r="AA557" s="7"/>
      <c r="AB557" s="9"/>
      <c r="AD557" s="9"/>
      <c r="AF557" s="7"/>
    </row>
    <row r="558" ht="15.75" customHeight="1">
      <c r="W558" s="6"/>
      <c r="X558" s="6"/>
      <c r="Y558" s="7"/>
      <c r="Z558" s="7"/>
      <c r="AA558" s="7"/>
      <c r="AB558" s="9"/>
      <c r="AD558" s="9"/>
      <c r="AF558" s="7"/>
    </row>
    <row r="559" ht="15.75" customHeight="1">
      <c r="W559" s="6"/>
      <c r="X559" s="6"/>
      <c r="Y559" s="7"/>
      <c r="Z559" s="7"/>
      <c r="AA559" s="7"/>
      <c r="AB559" s="9"/>
      <c r="AD559" s="9"/>
      <c r="AF559" s="7"/>
    </row>
    <row r="560" ht="15.75" customHeight="1">
      <c r="W560" s="6"/>
      <c r="X560" s="6"/>
      <c r="Y560" s="7"/>
      <c r="Z560" s="7"/>
      <c r="AA560" s="7"/>
      <c r="AB560" s="9"/>
      <c r="AD560" s="9"/>
      <c r="AF560" s="7"/>
    </row>
    <row r="561" ht="15.75" customHeight="1">
      <c r="W561" s="6"/>
      <c r="X561" s="6"/>
      <c r="Y561" s="7"/>
      <c r="Z561" s="7"/>
      <c r="AA561" s="7"/>
      <c r="AB561" s="9"/>
      <c r="AD561" s="9"/>
      <c r="AF561" s="7"/>
    </row>
    <row r="562" ht="15.75" customHeight="1">
      <c r="W562" s="6"/>
      <c r="X562" s="6"/>
      <c r="Y562" s="7"/>
      <c r="Z562" s="7"/>
      <c r="AA562" s="7"/>
      <c r="AB562" s="9"/>
      <c r="AD562" s="9"/>
      <c r="AF562" s="7"/>
    </row>
    <row r="563" ht="15.75" customHeight="1">
      <c r="W563" s="6"/>
      <c r="X563" s="6"/>
      <c r="Y563" s="7"/>
      <c r="Z563" s="7"/>
      <c r="AA563" s="7"/>
      <c r="AB563" s="9"/>
      <c r="AD563" s="9"/>
      <c r="AF563" s="7"/>
    </row>
    <row r="564" ht="15.75" customHeight="1">
      <c r="W564" s="6"/>
      <c r="X564" s="6"/>
      <c r="Y564" s="7"/>
      <c r="Z564" s="7"/>
      <c r="AA564" s="7"/>
      <c r="AB564" s="9"/>
      <c r="AD564" s="9"/>
      <c r="AF564" s="7"/>
    </row>
    <row r="565" ht="15.75" customHeight="1">
      <c r="W565" s="6"/>
      <c r="X565" s="6"/>
      <c r="Y565" s="7"/>
      <c r="Z565" s="7"/>
      <c r="AA565" s="7"/>
      <c r="AB565" s="9"/>
      <c r="AD565" s="9"/>
      <c r="AF565" s="7"/>
    </row>
    <row r="566" ht="15.75" customHeight="1">
      <c r="W566" s="6"/>
      <c r="X566" s="6"/>
      <c r="Y566" s="7"/>
      <c r="Z566" s="7"/>
      <c r="AA566" s="7"/>
      <c r="AB566" s="9"/>
      <c r="AD566" s="9"/>
      <c r="AF566" s="7"/>
    </row>
    <row r="567" ht="15.75" customHeight="1">
      <c r="W567" s="6"/>
      <c r="X567" s="6"/>
      <c r="Y567" s="7"/>
      <c r="Z567" s="7"/>
      <c r="AA567" s="7"/>
      <c r="AB567" s="9"/>
      <c r="AD567" s="9"/>
      <c r="AF567" s="7"/>
    </row>
    <row r="568" ht="15.75" customHeight="1">
      <c r="W568" s="6"/>
      <c r="X568" s="6"/>
      <c r="Y568" s="7"/>
      <c r="Z568" s="7"/>
      <c r="AA568" s="7"/>
      <c r="AB568" s="9"/>
      <c r="AD568" s="9"/>
      <c r="AF568" s="7"/>
    </row>
    <row r="569" ht="15.75" customHeight="1">
      <c r="W569" s="6"/>
      <c r="X569" s="6"/>
      <c r="Y569" s="7"/>
      <c r="Z569" s="7"/>
      <c r="AA569" s="7"/>
      <c r="AB569" s="9"/>
      <c r="AD569" s="9"/>
      <c r="AF569" s="7"/>
    </row>
    <row r="570" ht="15.75" customHeight="1">
      <c r="W570" s="6"/>
      <c r="X570" s="6"/>
      <c r="Y570" s="7"/>
      <c r="Z570" s="7"/>
      <c r="AA570" s="7"/>
      <c r="AB570" s="9"/>
      <c r="AD570" s="9"/>
      <c r="AF570" s="7"/>
    </row>
    <row r="571" ht="15.75" customHeight="1">
      <c r="W571" s="6"/>
      <c r="X571" s="6"/>
      <c r="Y571" s="7"/>
      <c r="Z571" s="7"/>
      <c r="AA571" s="7"/>
      <c r="AB571" s="9"/>
      <c r="AD571" s="9"/>
      <c r="AF571" s="7"/>
    </row>
    <row r="572" ht="15.75" customHeight="1">
      <c r="W572" s="6"/>
      <c r="X572" s="6"/>
      <c r="Y572" s="7"/>
      <c r="Z572" s="7"/>
      <c r="AA572" s="7"/>
      <c r="AB572" s="9"/>
      <c r="AD572" s="9"/>
      <c r="AF572" s="7"/>
    </row>
    <row r="573" ht="15.75" customHeight="1">
      <c r="W573" s="6"/>
      <c r="X573" s="6"/>
      <c r="Y573" s="7"/>
      <c r="Z573" s="7"/>
      <c r="AA573" s="7"/>
      <c r="AB573" s="9"/>
      <c r="AD573" s="9"/>
      <c r="AF573" s="7"/>
    </row>
    <row r="574" ht="15.75" customHeight="1">
      <c r="W574" s="6"/>
      <c r="X574" s="6"/>
      <c r="Y574" s="7"/>
      <c r="Z574" s="7"/>
      <c r="AA574" s="7"/>
      <c r="AB574" s="9"/>
      <c r="AD574" s="9"/>
      <c r="AF574" s="7"/>
    </row>
    <row r="575" ht="15.75" customHeight="1">
      <c r="W575" s="6"/>
      <c r="X575" s="6"/>
      <c r="Y575" s="7"/>
      <c r="Z575" s="7"/>
      <c r="AA575" s="7"/>
      <c r="AB575" s="9"/>
      <c r="AD575" s="9"/>
      <c r="AF575" s="7"/>
    </row>
    <row r="576" ht="15.75" customHeight="1">
      <c r="W576" s="6"/>
      <c r="X576" s="6"/>
      <c r="Y576" s="7"/>
      <c r="Z576" s="7"/>
      <c r="AA576" s="7"/>
      <c r="AB576" s="9"/>
      <c r="AD576" s="9"/>
      <c r="AF576" s="7"/>
    </row>
    <row r="577" ht="15.75" customHeight="1">
      <c r="W577" s="6"/>
      <c r="X577" s="6"/>
      <c r="Y577" s="7"/>
      <c r="Z577" s="7"/>
      <c r="AA577" s="7"/>
      <c r="AB577" s="9"/>
      <c r="AD577" s="9"/>
      <c r="AF577" s="7"/>
    </row>
    <row r="578" ht="15.75" customHeight="1">
      <c r="W578" s="6"/>
      <c r="X578" s="6"/>
      <c r="Y578" s="7"/>
      <c r="Z578" s="7"/>
      <c r="AA578" s="7"/>
      <c r="AB578" s="9"/>
      <c r="AD578" s="9"/>
      <c r="AF578" s="7"/>
    </row>
    <row r="579" ht="15.75" customHeight="1">
      <c r="W579" s="6"/>
      <c r="X579" s="6"/>
      <c r="Y579" s="7"/>
      <c r="Z579" s="7"/>
      <c r="AA579" s="7"/>
      <c r="AB579" s="9"/>
      <c r="AD579" s="9"/>
      <c r="AF579" s="7"/>
    </row>
    <row r="580" ht="15.75" customHeight="1">
      <c r="W580" s="6"/>
      <c r="X580" s="6"/>
      <c r="Y580" s="7"/>
      <c r="Z580" s="7"/>
      <c r="AA580" s="7"/>
      <c r="AB580" s="9"/>
      <c r="AD580" s="9"/>
      <c r="AF580" s="7"/>
    </row>
    <row r="581" ht="15.75" customHeight="1">
      <c r="W581" s="6"/>
      <c r="X581" s="6"/>
      <c r="Y581" s="7"/>
      <c r="Z581" s="7"/>
      <c r="AA581" s="7"/>
      <c r="AB581" s="9"/>
      <c r="AD581" s="9"/>
      <c r="AF581" s="7"/>
    </row>
    <row r="582" ht="15.75" customHeight="1">
      <c r="W582" s="6"/>
      <c r="X582" s="6"/>
      <c r="Y582" s="7"/>
      <c r="Z582" s="7"/>
      <c r="AA582" s="7"/>
      <c r="AB582" s="9"/>
      <c r="AD582" s="9"/>
      <c r="AF582" s="7"/>
    </row>
    <row r="583" ht="15.75" customHeight="1">
      <c r="W583" s="6"/>
      <c r="X583" s="6"/>
      <c r="Y583" s="7"/>
      <c r="Z583" s="7"/>
      <c r="AA583" s="7"/>
      <c r="AB583" s="9"/>
      <c r="AD583" s="9"/>
      <c r="AF583" s="7"/>
    </row>
    <row r="584" ht="15.75" customHeight="1">
      <c r="W584" s="6"/>
      <c r="X584" s="6"/>
      <c r="Y584" s="7"/>
      <c r="Z584" s="7"/>
      <c r="AA584" s="7"/>
      <c r="AB584" s="9"/>
      <c r="AD584" s="9"/>
      <c r="AF584" s="7"/>
    </row>
    <row r="585" ht="15.75" customHeight="1">
      <c r="W585" s="6"/>
      <c r="X585" s="6"/>
      <c r="Y585" s="7"/>
      <c r="Z585" s="7"/>
      <c r="AA585" s="7"/>
      <c r="AB585" s="9"/>
      <c r="AD585" s="9"/>
      <c r="AF585" s="7"/>
    </row>
    <row r="586" ht="15.75" customHeight="1">
      <c r="W586" s="6"/>
      <c r="X586" s="6"/>
      <c r="Y586" s="7"/>
      <c r="Z586" s="7"/>
      <c r="AA586" s="7"/>
      <c r="AB586" s="9"/>
      <c r="AD586" s="9"/>
      <c r="AF586" s="7"/>
    </row>
    <row r="587" ht="15.75" customHeight="1">
      <c r="W587" s="6"/>
      <c r="X587" s="6"/>
      <c r="Y587" s="7"/>
      <c r="Z587" s="7"/>
      <c r="AA587" s="7"/>
      <c r="AB587" s="9"/>
      <c r="AD587" s="9"/>
      <c r="AF587" s="7"/>
    </row>
    <row r="588" ht="15.75" customHeight="1">
      <c r="W588" s="6"/>
      <c r="X588" s="6"/>
      <c r="Y588" s="7"/>
      <c r="Z588" s="7"/>
      <c r="AA588" s="7"/>
      <c r="AB588" s="9"/>
      <c r="AD588" s="9"/>
      <c r="AF588" s="7"/>
    </row>
    <row r="589" ht="15.75" customHeight="1">
      <c r="W589" s="6"/>
      <c r="X589" s="6"/>
      <c r="Y589" s="7"/>
      <c r="Z589" s="7"/>
      <c r="AA589" s="7"/>
      <c r="AB589" s="9"/>
      <c r="AD589" s="9"/>
      <c r="AF589" s="7"/>
    </row>
    <row r="590" ht="15.75" customHeight="1">
      <c r="W590" s="6"/>
      <c r="X590" s="6"/>
      <c r="Y590" s="7"/>
      <c r="Z590" s="7"/>
      <c r="AA590" s="7"/>
      <c r="AB590" s="9"/>
      <c r="AD590" s="9"/>
      <c r="AF590" s="7"/>
    </row>
    <row r="591" ht="15.75" customHeight="1">
      <c r="W591" s="6"/>
      <c r="X591" s="6"/>
      <c r="Y591" s="7"/>
      <c r="Z591" s="7"/>
      <c r="AA591" s="7"/>
      <c r="AB591" s="9"/>
      <c r="AD591" s="9"/>
      <c r="AF591" s="7"/>
    </row>
    <row r="592" ht="15.75" customHeight="1">
      <c r="W592" s="6"/>
      <c r="X592" s="6"/>
      <c r="Y592" s="7"/>
      <c r="Z592" s="7"/>
      <c r="AA592" s="7"/>
      <c r="AB592" s="9"/>
      <c r="AD592" s="9"/>
      <c r="AF592" s="7"/>
    </row>
    <row r="593" ht="15.75" customHeight="1">
      <c r="W593" s="6"/>
      <c r="X593" s="6"/>
      <c r="Y593" s="7"/>
      <c r="Z593" s="7"/>
      <c r="AA593" s="7"/>
      <c r="AB593" s="9"/>
      <c r="AD593" s="9"/>
      <c r="AF593" s="7"/>
    </row>
    <row r="594" ht="15.75" customHeight="1">
      <c r="W594" s="6"/>
      <c r="X594" s="6"/>
      <c r="Y594" s="7"/>
      <c r="Z594" s="7"/>
      <c r="AA594" s="7"/>
      <c r="AB594" s="9"/>
      <c r="AD594" s="9"/>
      <c r="AF594" s="7"/>
    </row>
    <row r="595" ht="15.75" customHeight="1">
      <c r="W595" s="6"/>
      <c r="X595" s="6"/>
      <c r="Y595" s="7"/>
      <c r="Z595" s="7"/>
      <c r="AA595" s="7"/>
      <c r="AB595" s="9"/>
      <c r="AD595" s="9"/>
      <c r="AF595" s="7"/>
    </row>
    <row r="596" ht="15.75" customHeight="1">
      <c r="W596" s="6"/>
      <c r="X596" s="6"/>
      <c r="Y596" s="7"/>
      <c r="Z596" s="7"/>
      <c r="AA596" s="7"/>
      <c r="AB596" s="9"/>
      <c r="AD596" s="9"/>
      <c r="AF596" s="7"/>
    </row>
    <row r="597" ht="15.75" customHeight="1">
      <c r="W597" s="6"/>
      <c r="X597" s="6"/>
      <c r="Y597" s="7"/>
      <c r="Z597" s="7"/>
      <c r="AA597" s="7"/>
      <c r="AB597" s="9"/>
      <c r="AD597" s="9"/>
      <c r="AF597" s="7"/>
    </row>
    <row r="598" ht="15.75" customHeight="1">
      <c r="W598" s="6"/>
      <c r="X598" s="6"/>
      <c r="Y598" s="7"/>
      <c r="Z598" s="7"/>
      <c r="AA598" s="7"/>
      <c r="AB598" s="9"/>
      <c r="AD598" s="9"/>
      <c r="AF598" s="7"/>
    </row>
    <row r="599" ht="15.75" customHeight="1">
      <c r="W599" s="6"/>
      <c r="X599" s="6"/>
      <c r="Y599" s="7"/>
      <c r="Z599" s="7"/>
      <c r="AA599" s="7"/>
      <c r="AB599" s="9"/>
      <c r="AD599" s="9"/>
      <c r="AF599" s="7"/>
    </row>
    <row r="600" ht="15.75" customHeight="1">
      <c r="W600" s="6"/>
      <c r="X600" s="6"/>
      <c r="Y600" s="7"/>
      <c r="Z600" s="7"/>
      <c r="AA600" s="7"/>
      <c r="AB600" s="9"/>
      <c r="AD600" s="9"/>
      <c r="AF600" s="7"/>
    </row>
    <row r="601" ht="15.75" customHeight="1">
      <c r="W601" s="6"/>
      <c r="X601" s="6"/>
      <c r="Y601" s="7"/>
      <c r="Z601" s="7"/>
      <c r="AA601" s="7"/>
      <c r="AB601" s="9"/>
      <c r="AD601" s="9"/>
      <c r="AF601" s="7"/>
    </row>
    <row r="602" ht="15.75" customHeight="1">
      <c r="W602" s="6"/>
      <c r="X602" s="6"/>
      <c r="Y602" s="7"/>
      <c r="Z602" s="7"/>
      <c r="AA602" s="7"/>
      <c r="AB602" s="9"/>
      <c r="AD602" s="9"/>
      <c r="AF602" s="7"/>
    </row>
    <row r="603" ht="15.75" customHeight="1">
      <c r="W603" s="6"/>
      <c r="X603" s="6"/>
      <c r="Y603" s="7"/>
      <c r="Z603" s="7"/>
      <c r="AA603" s="7"/>
      <c r="AB603" s="9"/>
      <c r="AD603" s="9"/>
      <c r="AF603" s="7"/>
    </row>
    <row r="604" ht="15.75" customHeight="1">
      <c r="W604" s="6"/>
      <c r="X604" s="6"/>
      <c r="Y604" s="7"/>
      <c r="Z604" s="7"/>
      <c r="AA604" s="7"/>
      <c r="AB604" s="9"/>
      <c r="AD604" s="9"/>
      <c r="AF604" s="7"/>
    </row>
    <row r="605" ht="15.75" customHeight="1">
      <c r="W605" s="6"/>
      <c r="X605" s="6"/>
      <c r="Y605" s="7"/>
      <c r="Z605" s="7"/>
      <c r="AA605" s="7"/>
      <c r="AB605" s="9"/>
      <c r="AD605" s="9"/>
      <c r="AF605" s="7"/>
    </row>
    <row r="606" ht="15.75" customHeight="1">
      <c r="W606" s="6"/>
      <c r="X606" s="6"/>
      <c r="Y606" s="7"/>
      <c r="Z606" s="7"/>
      <c r="AA606" s="7"/>
      <c r="AB606" s="9"/>
      <c r="AD606" s="9"/>
      <c r="AF606" s="7"/>
    </row>
    <row r="607" ht="15.75" customHeight="1">
      <c r="W607" s="6"/>
      <c r="X607" s="6"/>
      <c r="Y607" s="7"/>
      <c r="Z607" s="7"/>
      <c r="AA607" s="7"/>
      <c r="AB607" s="9"/>
      <c r="AD607" s="9"/>
      <c r="AF607" s="7"/>
    </row>
    <row r="608" ht="15.75" customHeight="1">
      <c r="W608" s="6"/>
      <c r="X608" s="6"/>
      <c r="Y608" s="7"/>
      <c r="Z608" s="7"/>
      <c r="AA608" s="7"/>
      <c r="AB608" s="9"/>
      <c r="AD608" s="9"/>
      <c r="AF608" s="7"/>
    </row>
    <row r="609" ht="15.75" customHeight="1">
      <c r="W609" s="6"/>
      <c r="X609" s="6"/>
      <c r="Y609" s="7"/>
      <c r="Z609" s="7"/>
      <c r="AA609" s="7"/>
      <c r="AB609" s="9"/>
      <c r="AD609" s="9"/>
      <c r="AF609" s="7"/>
    </row>
    <row r="610" ht="15.75" customHeight="1">
      <c r="W610" s="6"/>
      <c r="X610" s="6"/>
      <c r="Y610" s="7"/>
      <c r="Z610" s="7"/>
      <c r="AA610" s="7"/>
      <c r="AB610" s="9"/>
      <c r="AD610" s="9"/>
      <c r="AF610" s="7"/>
    </row>
    <row r="611" ht="15.75" customHeight="1">
      <c r="W611" s="6"/>
      <c r="X611" s="6"/>
      <c r="Y611" s="7"/>
      <c r="Z611" s="7"/>
      <c r="AA611" s="7"/>
      <c r="AB611" s="9"/>
      <c r="AD611" s="9"/>
      <c r="AF611" s="7"/>
    </row>
    <row r="612" ht="15.75" customHeight="1">
      <c r="W612" s="6"/>
      <c r="X612" s="6"/>
      <c r="Y612" s="7"/>
      <c r="Z612" s="7"/>
      <c r="AA612" s="7"/>
      <c r="AB612" s="9"/>
      <c r="AD612" s="9"/>
      <c r="AF612" s="7"/>
    </row>
    <row r="613" ht="15.75" customHeight="1">
      <c r="W613" s="6"/>
      <c r="X613" s="6"/>
      <c r="Y613" s="7"/>
      <c r="Z613" s="7"/>
      <c r="AA613" s="7"/>
      <c r="AB613" s="9"/>
      <c r="AD613" s="9"/>
      <c r="AF613" s="7"/>
    </row>
    <row r="614" ht="15.75" customHeight="1">
      <c r="W614" s="6"/>
      <c r="X614" s="6"/>
      <c r="Y614" s="7"/>
      <c r="Z614" s="7"/>
      <c r="AA614" s="7"/>
      <c r="AB614" s="9"/>
      <c r="AD614" s="9"/>
      <c r="AF614" s="7"/>
    </row>
    <row r="615" ht="15.75" customHeight="1">
      <c r="W615" s="6"/>
      <c r="X615" s="6"/>
      <c r="Y615" s="7"/>
      <c r="Z615" s="7"/>
      <c r="AA615" s="7"/>
      <c r="AB615" s="9"/>
      <c r="AD615" s="9"/>
      <c r="AF615" s="7"/>
    </row>
    <row r="616" ht="15.75" customHeight="1">
      <c r="W616" s="6"/>
      <c r="X616" s="6"/>
      <c r="Y616" s="7"/>
      <c r="Z616" s="7"/>
      <c r="AA616" s="7"/>
      <c r="AB616" s="9"/>
      <c r="AD616" s="9"/>
      <c r="AF616" s="7"/>
    </row>
    <row r="617" ht="15.75" customHeight="1">
      <c r="W617" s="6"/>
      <c r="X617" s="6"/>
      <c r="Y617" s="7"/>
      <c r="Z617" s="7"/>
      <c r="AA617" s="7"/>
      <c r="AB617" s="9"/>
      <c r="AD617" s="9"/>
      <c r="AF617" s="7"/>
    </row>
    <row r="618" ht="15.75" customHeight="1">
      <c r="W618" s="6"/>
      <c r="X618" s="6"/>
      <c r="Y618" s="7"/>
      <c r="Z618" s="7"/>
      <c r="AA618" s="7"/>
      <c r="AB618" s="9"/>
      <c r="AD618" s="9"/>
      <c r="AF618" s="7"/>
    </row>
    <row r="619" ht="15.75" customHeight="1">
      <c r="W619" s="6"/>
      <c r="X619" s="6"/>
      <c r="Y619" s="7"/>
      <c r="Z619" s="7"/>
      <c r="AA619" s="7"/>
      <c r="AB619" s="9"/>
      <c r="AD619" s="9"/>
      <c r="AF619" s="7"/>
    </row>
    <row r="620" ht="15.75" customHeight="1">
      <c r="W620" s="6"/>
      <c r="X620" s="6"/>
      <c r="Y620" s="7"/>
      <c r="Z620" s="7"/>
      <c r="AA620" s="7"/>
      <c r="AB620" s="9"/>
      <c r="AD620" s="9"/>
      <c r="AF620" s="7"/>
    </row>
    <row r="621" ht="15.75" customHeight="1">
      <c r="W621" s="6"/>
      <c r="X621" s="6"/>
      <c r="Y621" s="7"/>
      <c r="Z621" s="7"/>
      <c r="AA621" s="7"/>
      <c r="AB621" s="9"/>
      <c r="AD621" s="9"/>
      <c r="AF621" s="7"/>
    </row>
    <row r="622" ht="15.75" customHeight="1">
      <c r="W622" s="6"/>
      <c r="X622" s="6"/>
      <c r="Y622" s="7"/>
      <c r="Z622" s="7"/>
      <c r="AA622" s="7"/>
      <c r="AB622" s="9"/>
      <c r="AD622" s="9"/>
      <c r="AF622" s="7"/>
    </row>
    <row r="623" ht="15.75" customHeight="1">
      <c r="W623" s="6"/>
      <c r="X623" s="6"/>
      <c r="Y623" s="7"/>
      <c r="Z623" s="7"/>
      <c r="AA623" s="7"/>
      <c r="AB623" s="9"/>
      <c r="AD623" s="9"/>
      <c r="AF623" s="7"/>
    </row>
    <row r="624" ht="15.75" customHeight="1">
      <c r="W624" s="6"/>
      <c r="X624" s="6"/>
      <c r="Y624" s="7"/>
      <c r="Z624" s="7"/>
      <c r="AA624" s="7"/>
      <c r="AB624" s="9"/>
      <c r="AD624" s="9"/>
      <c r="AF624" s="7"/>
    </row>
    <row r="625" ht="15.75" customHeight="1">
      <c r="W625" s="6"/>
      <c r="X625" s="6"/>
      <c r="Y625" s="7"/>
      <c r="Z625" s="7"/>
      <c r="AA625" s="7"/>
      <c r="AB625" s="9"/>
      <c r="AD625" s="9"/>
      <c r="AF625" s="7"/>
    </row>
    <row r="626" ht="15.75" customHeight="1">
      <c r="W626" s="6"/>
      <c r="X626" s="6"/>
      <c r="Y626" s="7"/>
      <c r="Z626" s="7"/>
      <c r="AA626" s="7"/>
      <c r="AB626" s="9"/>
      <c r="AD626" s="9"/>
      <c r="AF626" s="7"/>
    </row>
    <row r="627" ht="15.75" customHeight="1">
      <c r="W627" s="6"/>
      <c r="X627" s="6"/>
      <c r="Y627" s="7"/>
      <c r="Z627" s="7"/>
      <c r="AA627" s="7"/>
      <c r="AB627" s="9"/>
      <c r="AD627" s="9"/>
      <c r="AF627" s="7"/>
    </row>
    <row r="628" ht="15.75" customHeight="1">
      <c r="W628" s="6"/>
      <c r="X628" s="6"/>
      <c r="Y628" s="7"/>
      <c r="Z628" s="7"/>
      <c r="AA628" s="7"/>
      <c r="AB628" s="9"/>
      <c r="AD628" s="9"/>
      <c r="AF628" s="7"/>
    </row>
    <row r="629" ht="15.75" customHeight="1">
      <c r="W629" s="6"/>
      <c r="X629" s="6"/>
      <c r="Y629" s="7"/>
      <c r="Z629" s="7"/>
      <c r="AA629" s="7"/>
      <c r="AB629" s="9"/>
      <c r="AD629" s="9"/>
      <c r="AF629" s="7"/>
    </row>
    <row r="630" ht="15.75" customHeight="1">
      <c r="W630" s="6"/>
      <c r="X630" s="6"/>
      <c r="Y630" s="7"/>
      <c r="Z630" s="7"/>
      <c r="AA630" s="7"/>
      <c r="AB630" s="9"/>
      <c r="AD630" s="9"/>
      <c r="AF630" s="7"/>
    </row>
    <row r="631" ht="15.75" customHeight="1">
      <c r="W631" s="6"/>
      <c r="X631" s="6"/>
      <c r="Y631" s="7"/>
      <c r="Z631" s="7"/>
      <c r="AA631" s="7"/>
      <c r="AB631" s="9"/>
      <c r="AD631" s="9"/>
      <c r="AF631" s="7"/>
    </row>
    <row r="632" ht="15.75" customHeight="1">
      <c r="W632" s="6"/>
      <c r="X632" s="6"/>
      <c r="Y632" s="7"/>
      <c r="Z632" s="7"/>
      <c r="AA632" s="7"/>
      <c r="AB632" s="9"/>
      <c r="AD632" s="9"/>
      <c r="AF632" s="7"/>
    </row>
    <row r="633" ht="15.75" customHeight="1">
      <c r="W633" s="6"/>
      <c r="X633" s="6"/>
      <c r="Y633" s="7"/>
      <c r="Z633" s="7"/>
      <c r="AA633" s="7"/>
      <c r="AB633" s="9"/>
      <c r="AD633" s="9"/>
      <c r="AF633" s="7"/>
    </row>
    <row r="634" ht="15.75" customHeight="1">
      <c r="W634" s="6"/>
      <c r="X634" s="6"/>
      <c r="Y634" s="7"/>
      <c r="Z634" s="7"/>
      <c r="AA634" s="7"/>
      <c r="AB634" s="9"/>
      <c r="AD634" s="9"/>
      <c r="AF634" s="7"/>
    </row>
    <row r="635" ht="15.75" customHeight="1">
      <c r="W635" s="6"/>
      <c r="X635" s="6"/>
      <c r="Y635" s="7"/>
      <c r="Z635" s="7"/>
      <c r="AA635" s="7"/>
      <c r="AB635" s="9"/>
      <c r="AD635" s="9"/>
      <c r="AF635" s="7"/>
    </row>
    <row r="636" ht="15.75" customHeight="1">
      <c r="W636" s="6"/>
      <c r="X636" s="6"/>
      <c r="Y636" s="7"/>
      <c r="Z636" s="7"/>
      <c r="AA636" s="7"/>
      <c r="AB636" s="9"/>
      <c r="AD636" s="9"/>
      <c r="AF636" s="7"/>
    </row>
    <row r="637" ht="15.75" customHeight="1">
      <c r="W637" s="6"/>
      <c r="X637" s="6"/>
      <c r="Y637" s="7"/>
      <c r="Z637" s="7"/>
      <c r="AA637" s="7"/>
      <c r="AB637" s="9"/>
      <c r="AD637" s="9"/>
      <c r="AF637" s="7"/>
    </row>
    <row r="638" ht="15.75" customHeight="1">
      <c r="W638" s="6"/>
      <c r="X638" s="6"/>
      <c r="Y638" s="7"/>
      <c r="Z638" s="7"/>
      <c r="AA638" s="7"/>
      <c r="AB638" s="9"/>
      <c r="AD638" s="9"/>
      <c r="AF638" s="7"/>
    </row>
    <row r="639" ht="15.75" customHeight="1">
      <c r="W639" s="6"/>
      <c r="X639" s="6"/>
      <c r="Y639" s="7"/>
      <c r="Z639" s="7"/>
      <c r="AA639" s="7"/>
      <c r="AB639" s="9"/>
      <c r="AD639" s="9"/>
      <c r="AF639" s="7"/>
    </row>
    <row r="640" ht="15.75" customHeight="1">
      <c r="W640" s="6"/>
      <c r="X640" s="6"/>
      <c r="Y640" s="7"/>
      <c r="Z640" s="7"/>
      <c r="AA640" s="7"/>
      <c r="AB640" s="9"/>
      <c r="AD640" s="9"/>
      <c r="AF640" s="7"/>
    </row>
    <row r="641" ht="15.75" customHeight="1">
      <c r="W641" s="6"/>
      <c r="X641" s="6"/>
      <c r="Y641" s="7"/>
      <c r="Z641" s="7"/>
      <c r="AA641" s="7"/>
      <c r="AB641" s="9"/>
      <c r="AD641" s="9"/>
      <c r="AF641" s="7"/>
    </row>
    <row r="642" ht="15.75" customHeight="1">
      <c r="W642" s="6"/>
      <c r="X642" s="6"/>
      <c r="Y642" s="7"/>
      <c r="Z642" s="7"/>
      <c r="AA642" s="7"/>
      <c r="AB642" s="9"/>
      <c r="AD642" s="9"/>
      <c r="AF642" s="7"/>
    </row>
    <row r="643" ht="15.75" customHeight="1">
      <c r="W643" s="6"/>
      <c r="X643" s="6"/>
      <c r="Y643" s="7"/>
      <c r="Z643" s="7"/>
      <c r="AA643" s="7"/>
      <c r="AB643" s="9"/>
      <c r="AD643" s="9"/>
      <c r="AF643" s="7"/>
    </row>
    <row r="644" ht="15.75" customHeight="1">
      <c r="W644" s="6"/>
      <c r="X644" s="6"/>
      <c r="Y644" s="7"/>
      <c r="Z644" s="7"/>
      <c r="AA644" s="7"/>
      <c r="AB644" s="9"/>
      <c r="AD644" s="9"/>
      <c r="AF644" s="7"/>
    </row>
    <row r="645" ht="15.75" customHeight="1">
      <c r="W645" s="6"/>
      <c r="X645" s="6"/>
      <c r="Y645" s="7"/>
      <c r="Z645" s="7"/>
      <c r="AA645" s="7"/>
      <c r="AB645" s="9"/>
      <c r="AD645" s="9"/>
      <c r="AF645" s="7"/>
    </row>
    <row r="646" ht="15.75" customHeight="1">
      <c r="W646" s="6"/>
      <c r="X646" s="6"/>
      <c r="Y646" s="7"/>
      <c r="Z646" s="7"/>
      <c r="AA646" s="7"/>
      <c r="AB646" s="9"/>
      <c r="AD646" s="9"/>
      <c r="AF646" s="7"/>
    </row>
    <row r="647" ht="15.75" customHeight="1">
      <c r="W647" s="6"/>
      <c r="X647" s="6"/>
      <c r="Y647" s="7"/>
      <c r="Z647" s="7"/>
      <c r="AA647" s="7"/>
      <c r="AB647" s="9"/>
      <c r="AD647" s="9"/>
      <c r="AF647" s="7"/>
    </row>
    <row r="648" ht="15.75" customHeight="1">
      <c r="W648" s="6"/>
      <c r="X648" s="6"/>
      <c r="Y648" s="7"/>
      <c r="Z648" s="7"/>
      <c r="AA648" s="7"/>
      <c r="AB648" s="9"/>
      <c r="AD648" s="9"/>
      <c r="AF648" s="7"/>
    </row>
    <row r="649" ht="15.75" customHeight="1">
      <c r="W649" s="6"/>
      <c r="X649" s="6"/>
      <c r="Y649" s="7"/>
      <c r="Z649" s="7"/>
      <c r="AA649" s="7"/>
      <c r="AB649" s="9"/>
      <c r="AD649" s="9"/>
      <c r="AF649" s="7"/>
    </row>
    <row r="650" ht="15.75" customHeight="1">
      <c r="W650" s="6"/>
      <c r="X650" s="6"/>
      <c r="Y650" s="7"/>
      <c r="Z650" s="7"/>
      <c r="AA650" s="7"/>
      <c r="AB650" s="9"/>
      <c r="AD650" s="9"/>
      <c r="AF650" s="7"/>
    </row>
    <row r="651" ht="15.75" customHeight="1">
      <c r="W651" s="6"/>
      <c r="X651" s="6"/>
      <c r="Y651" s="7"/>
      <c r="Z651" s="7"/>
      <c r="AA651" s="7"/>
      <c r="AB651" s="9"/>
      <c r="AD651" s="9"/>
      <c r="AF651" s="7"/>
    </row>
    <row r="652" ht="15.75" customHeight="1">
      <c r="W652" s="6"/>
      <c r="X652" s="6"/>
      <c r="Y652" s="7"/>
      <c r="Z652" s="7"/>
      <c r="AA652" s="7"/>
      <c r="AB652" s="9"/>
      <c r="AD652" s="9"/>
      <c r="AF652" s="7"/>
    </row>
    <row r="653" ht="15.75" customHeight="1">
      <c r="W653" s="6"/>
      <c r="X653" s="6"/>
      <c r="Y653" s="7"/>
      <c r="Z653" s="7"/>
      <c r="AA653" s="7"/>
      <c r="AB653" s="9"/>
      <c r="AD653" s="9"/>
      <c r="AF653" s="7"/>
    </row>
    <row r="654" ht="15.75" customHeight="1">
      <c r="W654" s="6"/>
      <c r="X654" s="6"/>
      <c r="Y654" s="7"/>
      <c r="Z654" s="7"/>
      <c r="AA654" s="7"/>
      <c r="AB654" s="9"/>
      <c r="AD654" s="9"/>
      <c r="AF654" s="7"/>
    </row>
    <row r="655" ht="15.75" customHeight="1">
      <c r="W655" s="6"/>
      <c r="X655" s="6"/>
      <c r="Y655" s="7"/>
      <c r="Z655" s="7"/>
      <c r="AA655" s="7"/>
      <c r="AB655" s="9"/>
      <c r="AD655" s="9"/>
      <c r="AF655" s="7"/>
    </row>
    <row r="656" ht="15.75" customHeight="1">
      <c r="W656" s="6"/>
      <c r="X656" s="6"/>
      <c r="Y656" s="7"/>
      <c r="Z656" s="7"/>
      <c r="AA656" s="7"/>
      <c r="AB656" s="9"/>
      <c r="AD656" s="9"/>
      <c r="AF656" s="7"/>
    </row>
    <row r="657" ht="15.75" customHeight="1">
      <c r="W657" s="6"/>
      <c r="X657" s="6"/>
      <c r="Y657" s="7"/>
      <c r="Z657" s="7"/>
      <c r="AA657" s="7"/>
      <c r="AB657" s="9"/>
      <c r="AD657" s="9"/>
      <c r="AF657" s="7"/>
    </row>
    <row r="658" ht="15.75" customHeight="1">
      <c r="W658" s="6"/>
      <c r="X658" s="6"/>
      <c r="Y658" s="7"/>
      <c r="Z658" s="7"/>
      <c r="AA658" s="7"/>
      <c r="AB658" s="9"/>
      <c r="AD658" s="9"/>
      <c r="AF658" s="7"/>
    </row>
    <row r="659" ht="15.75" customHeight="1">
      <c r="W659" s="6"/>
      <c r="X659" s="6"/>
      <c r="Y659" s="7"/>
      <c r="Z659" s="7"/>
      <c r="AA659" s="7"/>
      <c r="AB659" s="9"/>
      <c r="AD659" s="9"/>
      <c r="AF659" s="7"/>
    </row>
    <row r="660" ht="15.75" customHeight="1">
      <c r="W660" s="6"/>
      <c r="X660" s="6"/>
      <c r="Y660" s="7"/>
      <c r="Z660" s="7"/>
      <c r="AA660" s="7"/>
      <c r="AB660" s="9"/>
      <c r="AD660" s="9"/>
      <c r="AF660" s="7"/>
    </row>
    <row r="661" ht="15.75" customHeight="1">
      <c r="W661" s="6"/>
      <c r="X661" s="6"/>
      <c r="Y661" s="7"/>
      <c r="Z661" s="7"/>
      <c r="AA661" s="7"/>
      <c r="AB661" s="9"/>
      <c r="AD661" s="9"/>
      <c r="AF661" s="7"/>
    </row>
    <row r="662" ht="15.75" customHeight="1">
      <c r="W662" s="6"/>
      <c r="X662" s="6"/>
      <c r="Y662" s="7"/>
      <c r="Z662" s="7"/>
      <c r="AA662" s="7"/>
      <c r="AB662" s="9"/>
      <c r="AD662" s="9"/>
      <c r="AF662" s="7"/>
    </row>
    <row r="663" ht="15.75" customHeight="1">
      <c r="W663" s="6"/>
      <c r="X663" s="6"/>
      <c r="Y663" s="7"/>
      <c r="Z663" s="7"/>
      <c r="AA663" s="7"/>
      <c r="AB663" s="9"/>
      <c r="AD663" s="9"/>
      <c r="AF663" s="7"/>
    </row>
    <row r="664" ht="15.75" customHeight="1">
      <c r="W664" s="6"/>
      <c r="X664" s="6"/>
      <c r="Y664" s="7"/>
      <c r="Z664" s="7"/>
      <c r="AA664" s="7"/>
      <c r="AB664" s="9"/>
      <c r="AD664" s="9"/>
      <c r="AF664" s="7"/>
    </row>
    <row r="665" ht="15.75" customHeight="1">
      <c r="W665" s="6"/>
      <c r="X665" s="6"/>
      <c r="Y665" s="7"/>
      <c r="Z665" s="7"/>
      <c r="AA665" s="7"/>
      <c r="AB665" s="9"/>
      <c r="AD665" s="9"/>
      <c r="AF665" s="7"/>
    </row>
    <row r="666" ht="15.75" customHeight="1">
      <c r="W666" s="6"/>
      <c r="X666" s="6"/>
      <c r="Y666" s="7"/>
      <c r="Z666" s="7"/>
      <c r="AA666" s="7"/>
      <c r="AB666" s="9"/>
      <c r="AD666" s="9"/>
      <c r="AF666" s="7"/>
    </row>
    <row r="667" ht="15.75" customHeight="1">
      <c r="W667" s="6"/>
      <c r="X667" s="6"/>
      <c r="Y667" s="7"/>
      <c r="Z667" s="7"/>
      <c r="AA667" s="7"/>
      <c r="AB667" s="9"/>
      <c r="AD667" s="9"/>
      <c r="AF667" s="7"/>
    </row>
    <row r="668" ht="15.75" customHeight="1">
      <c r="W668" s="6"/>
      <c r="X668" s="6"/>
      <c r="Y668" s="7"/>
      <c r="Z668" s="7"/>
      <c r="AA668" s="7"/>
      <c r="AB668" s="9"/>
      <c r="AD668" s="9"/>
      <c r="AF668" s="7"/>
    </row>
    <row r="669" ht="15.75" customHeight="1">
      <c r="W669" s="6"/>
      <c r="X669" s="6"/>
      <c r="Y669" s="7"/>
      <c r="Z669" s="7"/>
      <c r="AA669" s="7"/>
      <c r="AB669" s="9"/>
      <c r="AD669" s="9"/>
      <c r="AF669" s="7"/>
    </row>
    <row r="670" ht="15.75" customHeight="1">
      <c r="W670" s="6"/>
      <c r="X670" s="6"/>
      <c r="Y670" s="7"/>
      <c r="Z670" s="7"/>
      <c r="AA670" s="7"/>
      <c r="AB670" s="9"/>
      <c r="AD670" s="9"/>
      <c r="AF670" s="7"/>
    </row>
    <row r="671" ht="15.75" customHeight="1">
      <c r="W671" s="6"/>
      <c r="X671" s="6"/>
      <c r="Y671" s="7"/>
      <c r="Z671" s="7"/>
      <c r="AA671" s="7"/>
      <c r="AB671" s="9"/>
      <c r="AD671" s="9"/>
      <c r="AF671" s="7"/>
    </row>
    <row r="672" ht="15.75" customHeight="1">
      <c r="W672" s="6"/>
      <c r="X672" s="6"/>
      <c r="Y672" s="7"/>
      <c r="Z672" s="7"/>
      <c r="AA672" s="7"/>
      <c r="AB672" s="9"/>
      <c r="AD672" s="9"/>
      <c r="AF672" s="7"/>
    </row>
    <row r="673" ht="15.75" customHeight="1">
      <c r="W673" s="6"/>
      <c r="X673" s="6"/>
      <c r="Y673" s="7"/>
      <c r="Z673" s="7"/>
      <c r="AA673" s="7"/>
      <c r="AB673" s="9"/>
      <c r="AD673" s="9"/>
      <c r="AF673" s="7"/>
    </row>
    <row r="674" ht="15.75" customHeight="1">
      <c r="W674" s="6"/>
      <c r="X674" s="6"/>
      <c r="Y674" s="7"/>
      <c r="Z674" s="7"/>
      <c r="AA674" s="7"/>
      <c r="AB674" s="9"/>
      <c r="AD674" s="9"/>
      <c r="AF674" s="7"/>
    </row>
    <row r="675" ht="15.75" customHeight="1">
      <c r="W675" s="6"/>
      <c r="X675" s="6"/>
      <c r="Y675" s="7"/>
      <c r="Z675" s="7"/>
      <c r="AA675" s="7"/>
      <c r="AB675" s="9"/>
      <c r="AD675" s="9"/>
      <c r="AF675" s="7"/>
    </row>
    <row r="676" ht="15.75" customHeight="1">
      <c r="W676" s="6"/>
      <c r="X676" s="6"/>
      <c r="Y676" s="7"/>
      <c r="Z676" s="7"/>
      <c r="AA676" s="7"/>
      <c r="AB676" s="9"/>
      <c r="AD676" s="9"/>
      <c r="AF676" s="7"/>
    </row>
    <row r="677" ht="15.75" customHeight="1">
      <c r="W677" s="6"/>
      <c r="X677" s="6"/>
      <c r="Y677" s="7"/>
      <c r="Z677" s="7"/>
      <c r="AA677" s="7"/>
      <c r="AB677" s="9"/>
      <c r="AD677" s="9"/>
      <c r="AF677" s="7"/>
    </row>
    <row r="678" ht="15.75" customHeight="1">
      <c r="W678" s="6"/>
      <c r="X678" s="6"/>
      <c r="Y678" s="7"/>
      <c r="Z678" s="7"/>
      <c r="AA678" s="7"/>
      <c r="AB678" s="9"/>
      <c r="AD678" s="9"/>
      <c r="AF678" s="7"/>
    </row>
    <row r="679" ht="15.75" customHeight="1">
      <c r="W679" s="6"/>
      <c r="X679" s="6"/>
      <c r="Y679" s="7"/>
      <c r="Z679" s="7"/>
      <c r="AA679" s="7"/>
      <c r="AB679" s="9"/>
      <c r="AD679" s="9"/>
      <c r="AF679" s="7"/>
    </row>
    <row r="680" ht="15.75" customHeight="1">
      <c r="W680" s="6"/>
      <c r="X680" s="6"/>
      <c r="Y680" s="7"/>
      <c r="Z680" s="7"/>
      <c r="AA680" s="7"/>
      <c r="AB680" s="9"/>
      <c r="AD680" s="9"/>
      <c r="AF680" s="7"/>
    </row>
    <row r="681" ht="15.75" customHeight="1">
      <c r="W681" s="6"/>
      <c r="X681" s="6"/>
      <c r="Y681" s="7"/>
      <c r="Z681" s="7"/>
      <c r="AA681" s="7"/>
      <c r="AB681" s="9"/>
      <c r="AD681" s="9"/>
      <c r="AF681" s="7"/>
    </row>
    <row r="682" ht="15.75" customHeight="1">
      <c r="W682" s="6"/>
      <c r="X682" s="6"/>
      <c r="Y682" s="7"/>
      <c r="Z682" s="7"/>
      <c r="AA682" s="7"/>
      <c r="AB682" s="9"/>
      <c r="AD682" s="9"/>
      <c r="AF682" s="7"/>
    </row>
    <row r="683" ht="15.75" customHeight="1">
      <c r="W683" s="6"/>
      <c r="X683" s="6"/>
      <c r="Y683" s="7"/>
      <c r="Z683" s="7"/>
      <c r="AA683" s="7"/>
      <c r="AB683" s="9"/>
      <c r="AD683" s="9"/>
      <c r="AF683" s="7"/>
    </row>
    <row r="684" ht="15.75" customHeight="1">
      <c r="W684" s="6"/>
      <c r="X684" s="6"/>
      <c r="Y684" s="7"/>
      <c r="Z684" s="7"/>
      <c r="AA684" s="7"/>
      <c r="AB684" s="9"/>
      <c r="AD684" s="9"/>
      <c r="AF684" s="7"/>
    </row>
    <row r="685" ht="15.75" customHeight="1">
      <c r="W685" s="6"/>
      <c r="X685" s="6"/>
      <c r="Y685" s="7"/>
      <c r="Z685" s="7"/>
      <c r="AA685" s="7"/>
      <c r="AB685" s="9"/>
      <c r="AD685" s="9"/>
      <c r="AF685" s="7"/>
    </row>
    <row r="686" ht="15.75" customHeight="1">
      <c r="W686" s="6"/>
      <c r="X686" s="6"/>
      <c r="Y686" s="7"/>
      <c r="Z686" s="7"/>
      <c r="AA686" s="7"/>
      <c r="AB686" s="9"/>
      <c r="AD686" s="9"/>
      <c r="AF686" s="7"/>
    </row>
    <row r="687" ht="15.75" customHeight="1">
      <c r="W687" s="6"/>
      <c r="X687" s="6"/>
      <c r="Y687" s="7"/>
      <c r="Z687" s="7"/>
      <c r="AA687" s="7"/>
      <c r="AB687" s="9"/>
      <c r="AD687" s="9"/>
      <c r="AF687" s="7"/>
    </row>
    <row r="688" ht="15.75" customHeight="1">
      <c r="W688" s="6"/>
      <c r="X688" s="6"/>
      <c r="Y688" s="7"/>
      <c r="Z688" s="7"/>
      <c r="AA688" s="7"/>
      <c r="AB688" s="9"/>
      <c r="AD688" s="9"/>
      <c r="AF688" s="7"/>
    </row>
    <row r="689" ht="15.75" customHeight="1">
      <c r="W689" s="6"/>
      <c r="X689" s="6"/>
      <c r="Y689" s="7"/>
      <c r="Z689" s="7"/>
      <c r="AA689" s="7"/>
      <c r="AB689" s="9"/>
      <c r="AD689" s="9"/>
      <c r="AF689" s="7"/>
    </row>
    <row r="690" ht="15.75" customHeight="1">
      <c r="W690" s="6"/>
      <c r="X690" s="6"/>
      <c r="Y690" s="7"/>
      <c r="Z690" s="7"/>
      <c r="AA690" s="7"/>
      <c r="AB690" s="9"/>
      <c r="AD690" s="9"/>
      <c r="AF690" s="7"/>
    </row>
    <row r="691" ht="15.75" customHeight="1">
      <c r="W691" s="6"/>
      <c r="X691" s="6"/>
      <c r="Y691" s="7"/>
      <c r="Z691" s="7"/>
      <c r="AA691" s="7"/>
      <c r="AB691" s="9"/>
      <c r="AD691" s="9"/>
      <c r="AF691" s="7"/>
    </row>
    <row r="692" ht="15.75" customHeight="1">
      <c r="W692" s="6"/>
      <c r="X692" s="6"/>
      <c r="Y692" s="7"/>
      <c r="Z692" s="7"/>
      <c r="AA692" s="7"/>
      <c r="AB692" s="9"/>
      <c r="AD692" s="9"/>
      <c r="AF692" s="7"/>
    </row>
    <row r="693" ht="15.75" customHeight="1">
      <c r="W693" s="6"/>
      <c r="X693" s="6"/>
      <c r="Y693" s="7"/>
      <c r="Z693" s="7"/>
      <c r="AA693" s="7"/>
      <c r="AB693" s="9"/>
      <c r="AD693" s="9"/>
      <c r="AF693" s="7"/>
    </row>
    <row r="694" ht="15.75" customHeight="1">
      <c r="W694" s="6"/>
      <c r="X694" s="6"/>
      <c r="Y694" s="7"/>
      <c r="Z694" s="7"/>
      <c r="AA694" s="7"/>
      <c r="AB694" s="9"/>
      <c r="AD694" s="9"/>
      <c r="AF694" s="7"/>
    </row>
    <row r="695" ht="15.75" customHeight="1">
      <c r="W695" s="6"/>
      <c r="X695" s="6"/>
      <c r="Y695" s="7"/>
      <c r="Z695" s="7"/>
      <c r="AA695" s="7"/>
      <c r="AB695" s="9"/>
      <c r="AD695" s="9"/>
      <c r="AF695" s="7"/>
    </row>
    <row r="696" ht="15.75" customHeight="1">
      <c r="W696" s="6"/>
      <c r="X696" s="6"/>
      <c r="Y696" s="7"/>
      <c r="Z696" s="7"/>
      <c r="AA696" s="7"/>
      <c r="AB696" s="9"/>
      <c r="AD696" s="9"/>
      <c r="AF696" s="7"/>
    </row>
    <row r="697" ht="15.75" customHeight="1">
      <c r="W697" s="6"/>
      <c r="X697" s="6"/>
      <c r="Y697" s="7"/>
      <c r="Z697" s="7"/>
      <c r="AA697" s="7"/>
      <c r="AB697" s="9"/>
      <c r="AD697" s="9"/>
      <c r="AF697" s="7"/>
    </row>
    <row r="698" ht="15.75" customHeight="1">
      <c r="W698" s="6"/>
      <c r="X698" s="6"/>
      <c r="Y698" s="7"/>
      <c r="Z698" s="7"/>
      <c r="AA698" s="7"/>
      <c r="AB698" s="9"/>
      <c r="AD698" s="9"/>
      <c r="AF698" s="7"/>
    </row>
    <row r="699" ht="15.75" customHeight="1">
      <c r="W699" s="6"/>
      <c r="X699" s="6"/>
      <c r="Y699" s="7"/>
      <c r="Z699" s="7"/>
      <c r="AA699" s="7"/>
      <c r="AB699" s="9"/>
      <c r="AD699" s="9"/>
      <c r="AF699" s="7"/>
    </row>
    <row r="700" ht="15.75" customHeight="1">
      <c r="W700" s="6"/>
      <c r="X700" s="6"/>
      <c r="Y700" s="7"/>
      <c r="Z700" s="7"/>
      <c r="AA700" s="7"/>
      <c r="AB700" s="9"/>
      <c r="AD700" s="9"/>
      <c r="AF700" s="7"/>
    </row>
    <row r="701" ht="15.75" customHeight="1">
      <c r="W701" s="6"/>
      <c r="X701" s="6"/>
      <c r="Y701" s="7"/>
      <c r="Z701" s="7"/>
      <c r="AA701" s="7"/>
      <c r="AB701" s="9"/>
      <c r="AD701" s="9"/>
      <c r="AF701" s="7"/>
    </row>
    <row r="702" ht="15.75" customHeight="1">
      <c r="W702" s="6"/>
      <c r="X702" s="6"/>
      <c r="Y702" s="7"/>
      <c r="Z702" s="7"/>
      <c r="AA702" s="7"/>
      <c r="AB702" s="9"/>
      <c r="AD702" s="9"/>
      <c r="AF702" s="7"/>
    </row>
    <row r="703" ht="15.75" customHeight="1">
      <c r="W703" s="6"/>
      <c r="X703" s="6"/>
      <c r="Y703" s="7"/>
      <c r="Z703" s="7"/>
      <c r="AA703" s="7"/>
      <c r="AB703" s="9"/>
      <c r="AD703" s="9"/>
      <c r="AF703" s="7"/>
    </row>
    <row r="704" ht="15.75" customHeight="1">
      <c r="W704" s="6"/>
      <c r="X704" s="6"/>
      <c r="Y704" s="7"/>
      <c r="Z704" s="7"/>
      <c r="AA704" s="7"/>
      <c r="AB704" s="9"/>
      <c r="AD704" s="9"/>
      <c r="AF704" s="7"/>
    </row>
    <row r="705" ht="15.75" customHeight="1">
      <c r="W705" s="6"/>
      <c r="X705" s="6"/>
      <c r="Y705" s="7"/>
      <c r="Z705" s="7"/>
      <c r="AA705" s="7"/>
      <c r="AB705" s="9"/>
      <c r="AD705" s="9"/>
      <c r="AF705" s="7"/>
    </row>
    <row r="706" ht="15.75" customHeight="1">
      <c r="W706" s="6"/>
      <c r="X706" s="6"/>
      <c r="Y706" s="7"/>
      <c r="Z706" s="7"/>
      <c r="AA706" s="7"/>
      <c r="AB706" s="9"/>
      <c r="AD706" s="9"/>
      <c r="AF706" s="7"/>
    </row>
    <row r="707" ht="15.75" customHeight="1">
      <c r="W707" s="6"/>
      <c r="X707" s="6"/>
      <c r="Y707" s="7"/>
      <c r="Z707" s="7"/>
      <c r="AA707" s="7"/>
      <c r="AB707" s="9"/>
      <c r="AD707" s="9"/>
      <c r="AF707" s="7"/>
    </row>
    <row r="708" ht="15.75" customHeight="1">
      <c r="W708" s="6"/>
      <c r="X708" s="6"/>
      <c r="Y708" s="7"/>
      <c r="Z708" s="7"/>
      <c r="AA708" s="7"/>
      <c r="AB708" s="9"/>
      <c r="AD708" s="9"/>
      <c r="AF708" s="7"/>
    </row>
    <row r="709" ht="15.75" customHeight="1">
      <c r="W709" s="6"/>
      <c r="X709" s="6"/>
      <c r="Y709" s="7"/>
      <c r="Z709" s="7"/>
      <c r="AA709" s="7"/>
      <c r="AB709" s="9"/>
      <c r="AD709" s="9"/>
      <c r="AF709" s="7"/>
    </row>
    <row r="710" ht="15.75" customHeight="1">
      <c r="W710" s="6"/>
      <c r="X710" s="6"/>
      <c r="Y710" s="7"/>
      <c r="Z710" s="7"/>
      <c r="AA710" s="7"/>
      <c r="AB710" s="9"/>
      <c r="AD710" s="9"/>
      <c r="AF710" s="7"/>
    </row>
    <row r="711" ht="15.75" customHeight="1">
      <c r="W711" s="6"/>
      <c r="X711" s="6"/>
      <c r="Y711" s="7"/>
      <c r="Z711" s="7"/>
      <c r="AA711" s="7"/>
      <c r="AB711" s="9"/>
      <c r="AD711" s="9"/>
      <c r="AF711" s="7"/>
    </row>
    <row r="712" ht="15.75" customHeight="1">
      <c r="W712" s="6"/>
      <c r="X712" s="6"/>
      <c r="Y712" s="7"/>
      <c r="Z712" s="7"/>
      <c r="AA712" s="7"/>
      <c r="AB712" s="9"/>
      <c r="AD712" s="9"/>
      <c r="AF712" s="7"/>
    </row>
    <row r="713" ht="15.75" customHeight="1">
      <c r="W713" s="6"/>
      <c r="X713" s="6"/>
      <c r="Y713" s="7"/>
      <c r="Z713" s="7"/>
      <c r="AA713" s="7"/>
      <c r="AB713" s="9"/>
      <c r="AD713" s="9"/>
      <c r="AF713" s="7"/>
    </row>
    <row r="714" ht="15.75" customHeight="1">
      <c r="W714" s="6"/>
      <c r="X714" s="6"/>
      <c r="Y714" s="7"/>
      <c r="Z714" s="7"/>
      <c r="AA714" s="7"/>
      <c r="AB714" s="9"/>
      <c r="AD714" s="9"/>
      <c r="AF714" s="7"/>
    </row>
    <row r="715" ht="15.75" customHeight="1">
      <c r="W715" s="6"/>
      <c r="X715" s="6"/>
      <c r="Y715" s="7"/>
      <c r="Z715" s="7"/>
      <c r="AA715" s="7"/>
      <c r="AB715" s="9"/>
      <c r="AD715" s="9"/>
      <c r="AF715" s="7"/>
    </row>
    <row r="716" ht="15.75" customHeight="1">
      <c r="W716" s="6"/>
      <c r="X716" s="6"/>
      <c r="Y716" s="7"/>
      <c r="Z716" s="7"/>
      <c r="AA716" s="7"/>
      <c r="AB716" s="9"/>
      <c r="AD716" s="9"/>
      <c r="AF716" s="7"/>
    </row>
    <row r="717" ht="15.75" customHeight="1">
      <c r="W717" s="6"/>
      <c r="X717" s="6"/>
      <c r="Y717" s="7"/>
      <c r="Z717" s="7"/>
      <c r="AA717" s="7"/>
      <c r="AB717" s="9"/>
      <c r="AD717" s="9"/>
      <c r="AF717" s="7"/>
    </row>
    <row r="718" ht="15.75" customHeight="1">
      <c r="W718" s="6"/>
      <c r="X718" s="6"/>
      <c r="Y718" s="7"/>
      <c r="Z718" s="7"/>
      <c r="AA718" s="7"/>
      <c r="AB718" s="9"/>
      <c r="AD718" s="9"/>
      <c r="AF718" s="7"/>
    </row>
    <row r="719" ht="15.75" customHeight="1">
      <c r="W719" s="6"/>
      <c r="X719" s="6"/>
      <c r="Y719" s="7"/>
      <c r="Z719" s="7"/>
      <c r="AA719" s="7"/>
      <c r="AB719" s="9"/>
      <c r="AD719" s="9"/>
      <c r="AF719" s="7"/>
    </row>
    <row r="720" ht="15.75" customHeight="1">
      <c r="W720" s="6"/>
      <c r="X720" s="6"/>
      <c r="Y720" s="7"/>
      <c r="Z720" s="7"/>
      <c r="AA720" s="7"/>
      <c r="AB720" s="9"/>
      <c r="AD720" s="9"/>
      <c r="AF720" s="7"/>
    </row>
    <row r="721" ht="15.75" customHeight="1">
      <c r="W721" s="6"/>
      <c r="X721" s="6"/>
      <c r="Y721" s="7"/>
      <c r="Z721" s="7"/>
      <c r="AA721" s="7"/>
      <c r="AB721" s="9"/>
      <c r="AD721" s="9"/>
      <c r="AF721" s="7"/>
    </row>
    <row r="722" ht="15.75" customHeight="1">
      <c r="W722" s="6"/>
      <c r="X722" s="6"/>
      <c r="Y722" s="7"/>
      <c r="Z722" s="7"/>
      <c r="AA722" s="7"/>
      <c r="AB722" s="9"/>
      <c r="AD722" s="9"/>
      <c r="AF722" s="7"/>
    </row>
    <row r="723" ht="15.75" customHeight="1">
      <c r="W723" s="6"/>
      <c r="X723" s="6"/>
      <c r="Y723" s="7"/>
      <c r="Z723" s="7"/>
      <c r="AA723" s="7"/>
      <c r="AB723" s="9"/>
      <c r="AD723" s="9"/>
      <c r="AF723" s="7"/>
    </row>
    <row r="724" ht="15.75" customHeight="1">
      <c r="W724" s="6"/>
      <c r="X724" s="6"/>
      <c r="Y724" s="7"/>
      <c r="Z724" s="7"/>
      <c r="AA724" s="7"/>
      <c r="AB724" s="9"/>
      <c r="AD724" s="9"/>
      <c r="AF724" s="7"/>
    </row>
    <row r="725" ht="15.75" customHeight="1">
      <c r="W725" s="6"/>
      <c r="X725" s="6"/>
      <c r="Y725" s="7"/>
      <c r="Z725" s="7"/>
      <c r="AA725" s="7"/>
      <c r="AB725" s="9"/>
      <c r="AD725" s="9"/>
      <c r="AF725" s="7"/>
    </row>
    <row r="726" ht="15.75" customHeight="1">
      <c r="W726" s="6"/>
      <c r="X726" s="6"/>
      <c r="Y726" s="7"/>
      <c r="Z726" s="7"/>
      <c r="AA726" s="7"/>
      <c r="AB726" s="9"/>
      <c r="AD726" s="9"/>
      <c r="AF726" s="7"/>
    </row>
    <row r="727" ht="15.75" customHeight="1">
      <c r="W727" s="6"/>
      <c r="X727" s="6"/>
      <c r="Y727" s="7"/>
      <c r="Z727" s="7"/>
      <c r="AA727" s="7"/>
      <c r="AB727" s="9"/>
      <c r="AD727" s="9"/>
      <c r="AF727" s="7"/>
    </row>
    <row r="728" ht="15.75" customHeight="1">
      <c r="W728" s="6"/>
      <c r="X728" s="6"/>
      <c r="Y728" s="7"/>
      <c r="Z728" s="7"/>
      <c r="AA728" s="7"/>
      <c r="AB728" s="9"/>
      <c r="AD728" s="9"/>
      <c r="AF728" s="7"/>
    </row>
    <row r="729" ht="15.75" customHeight="1">
      <c r="W729" s="6"/>
      <c r="X729" s="6"/>
      <c r="Y729" s="7"/>
      <c r="Z729" s="7"/>
      <c r="AA729" s="7"/>
      <c r="AB729" s="9"/>
      <c r="AD729" s="9"/>
      <c r="AF729" s="7"/>
    </row>
    <row r="730" ht="15.75" customHeight="1">
      <c r="W730" s="6"/>
      <c r="X730" s="6"/>
      <c r="Y730" s="7"/>
      <c r="Z730" s="7"/>
      <c r="AA730" s="7"/>
      <c r="AB730" s="9"/>
      <c r="AD730" s="9"/>
      <c r="AF730" s="7"/>
    </row>
    <row r="731" ht="15.75" customHeight="1">
      <c r="W731" s="6"/>
      <c r="X731" s="6"/>
      <c r="Y731" s="7"/>
      <c r="Z731" s="7"/>
      <c r="AA731" s="7"/>
      <c r="AB731" s="9"/>
      <c r="AD731" s="9"/>
      <c r="AF731" s="7"/>
    </row>
    <row r="732" ht="15.75" customHeight="1">
      <c r="W732" s="6"/>
      <c r="X732" s="6"/>
      <c r="Y732" s="7"/>
      <c r="Z732" s="7"/>
      <c r="AA732" s="7"/>
      <c r="AB732" s="9"/>
      <c r="AD732" s="9"/>
      <c r="AF732" s="7"/>
    </row>
    <row r="733" ht="15.75" customHeight="1">
      <c r="W733" s="6"/>
      <c r="X733" s="6"/>
      <c r="Y733" s="7"/>
      <c r="Z733" s="7"/>
      <c r="AA733" s="7"/>
      <c r="AB733" s="9"/>
      <c r="AD733" s="9"/>
      <c r="AF733" s="7"/>
    </row>
    <row r="734" ht="15.75" customHeight="1">
      <c r="W734" s="6"/>
      <c r="X734" s="6"/>
      <c r="Y734" s="7"/>
      <c r="Z734" s="7"/>
      <c r="AA734" s="7"/>
      <c r="AB734" s="9"/>
      <c r="AD734" s="9"/>
      <c r="AF734" s="7"/>
    </row>
    <row r="735" ht="15.75" customHeight="1">
      <c r="W735" s="6"/>
      <c r="X735" s="6"/>
      <c r="Y735" s="7"/>
      <c r="Z735" s="7"/>
      <c r="AA735" s="7"/>
      <c r="AB735" s="9"/>
      <c r="AD735" s="9"/>
      <c r="AF735" s="7"/>
    </row>
    <row r="736" ht="15.75" customHeight="1">
      <c r="W736" s="6"/>
      <c r="X736" s="6"/>
      <c r="Y736" s="7"/>
      <c r="Z736" s="7"/>
      <c r="AA736" s="7"/>
      <c r="AB736" s="9"/>
      <c r="AD736" s="9"/>
      <c r="AF736" s="7"/>
    </row>
    <row r="737" ht="15.75" customHeight="1">
      <c r="W737" s="6"/>
      <c r="X737" s="6"/>
      <c r="Y737" s="7"/>
      <c r="Z737" s="7"/>
      <c r="AA737" s="7"/>
      <c r="AB737" s="9"/>
      <c r="AD737" s="9"/>
      <c r="AF737" s="7"/>
    </row>
    <row r="738" ht="15.75" customHeight="1">
      <c r="W738" s="6"/>
      <c r="X738" s="6"/>
      <c r="Y738" s="7"/>
      <c r="Z738" s="7"/>
      <c r="AA738" s="7"/>
      <c r="AB738" s="9"/>
      <c r="AD738" s="9"/>
      <c r="AF738" s="7"/>
    </row>
    <row r="739" ht="15.75" customHeight="1">
      <c r="W739" s="6"/>
      <c r="X739" s="6"/>
      <c r="Y739" s="7"/>
      <c r="Z739" s="7"/>
      <c r="AA739" s="7"/>
      <c r="AB739" s="9"/>
      <c r="AD739" s="9"/>
      <c r="AF739" s="7"/>
    </row>
    <row r="740" ht="15.75" customHeight="1">
      <c r="W740" s="6"/>
      <c r="X740" s="6"/>
      <c r="Y740" s="7"/>
      <c r="Z740" s="7"/>
      <c r="AA740" s="7"/>
      <c r="AB740" s="9"/>
      <c r="AD740" s="9"/>
      <c r="AF740" s="7"/>
    </row>
    <row r="741" ht="15.75" customHeight="1">
      <c r="W741" s="6"/>
      <c r="X741" s="6"/>
      <c r="Y741" s="7"/>
      <c r="Z741" s="7"/>
      <c r="AA741" s="7"/>
      <c r="AB741" s="9"/>
      <c r="AD741" s="9"/>
      <c r="AF741" s="7"/>
    </row>
    <row r="742" ht="15.75" customHeight="1">
      <c r="W742" s="6"/>
      <c r="X742" s="6"/>
      <c r="Y742" s="7"/>
      <c r="Z742" s="7"/>
      <c r="AA742" s="7"/>
      <c r="AB742" s="9"/>
      <c r="AD742" s="9"/>
      <c r="AF742" s="7"/>
    </row>
    <row r="743" ht="15.75" customHeight="1">
      <c r="W743" s="6"/>
      <c r="X743" s="6"/>
      <c r="Y743" s="7"/>
      <c r="Z743" s="7"/>
      <c r="AA743" s="7"/>
      <c r="AB743" s="9"/>
      <c r="AD743" s="9"/>
      <c r="AF743" s="7"/>
    </row>
    <row r="744" ht="15.75" customHeight="1">
      <c r="W744" s="6"/>
      <c r="X744" s="6"/>
      <c r="Y744" s="7"/>
      <c r="Z744" s="7"/>
      <c r="AA744" s="7"/>
      <c r="AB744" s="9"/>
      <c r="AD744" s="9"/>
      <c r="AF744" s="7"/>
    </row>
    <row r="745" ht="15.75" customHeight="1">
      <c r="W745" s="6"/>
      <c r="X745" s="6"/>
      <c r="Y745" s="7"/>
      <c r="Z745" s="7"/>
      <c r="AA745" s="7"/>
      <c r="AB745" s="9"/>
      <c r="AD745" s="9"/>
      <c r="AF745" s="7"/>
    </row>
    <row r="746" ht="15.75" customHeight="1">
      <c r="W746" s="6"/>
      <c r="X746" s="6"/>
      <c r="Y746" s="7"/>
      <c r="Z746" s="7"/>
      <c r="AA746" s="7"/>
      <c r="AB746" s="9"/>
      <c r="AD746" s="9"/>
      <c r="AF746" s="7"/>
    </row>
    <row r="747" ht="15.75" customHeight="1">
      <c r="W747" s="6"/>
      <c r="X747" s="6"/>
      <c r="Y747" s="7"/>
      <c r="Z747" s="7"/>
      <c r="AA747" s="7"/>
      <c r="AB747" s="9"/>
      <c r="AD747" s="9"/>
      <c r="AF747" s="7"/>
    </row>
    <row r="748" ht="15.75" customHeight="1">
      <c r="W748" s="6"/>
      <c r="X748" s="6"/>
      <c r="Y748" s="7"/>
      <c r="Z748" s="7"/>
      <c r="AA748" s="7"/>
      <c r="AB748" s="9"/>
      <c r="AD748" s="9"/>
      <c r="AF748" s="7"/>
    </row>
    <row r="749" ht="15.75" customHeight="1">
      <c r="W749" s="6"/>
      <c r="X749" s="6"/>
      <c r="Y749" s="7"/>
      <c r="Z749" s="7"/>
      <c r="AA749" s="7"/>
      <c r="AB749" s="9"/>
      <c r="AD749" s="9"/>
      <c r="AF749" s="7"/>
    </row>
    <row r="750" ht="15.75" customHeight="1">
      <c r="W750" s="6"/>
      <c r="X750" s="6"/>
      <c r="Y750" s="7"/>
      <c r="Z750" s="7"/>
      <c r="AA750" s="7"/>
      <c r="AB750" s="9"/>
      <c r="AD750" s="9"/>
      <c r="AF750" s="7"/>
    </row>
    <row r="751" ht="15.75" customHeight="1">
      <c r="W751" s="6"/>
      <c r="X751" s="6"/>
      <c r="Y751" s="7"/>
      <c r="Z751" s="7"/>
      <c r="AA751" s="7"/>
      <c r="AB751" s="9"/>
      <c r="AD751" s="9"/>
      <c r="AF751" s="7"/>
    </row>
    <row r="752" ht="15.75" customHeight="1">
      <c r="W752" s="6"/>
      <c r="X752" s="6"/>
      <c r="Y752" s="7"/>
      <c r="Z752" s="7"/>
      <c r="AA752" s="7"/>
      <c r="AB752" s="9"/>
      <c r="AD752" s="9"/>
      <c r="AF752" s="7"/>
    </row>
    <row r="753" ht="15.75" customHeight="1">
      <c r="W753" s="6"/>
      <c r="X753" s="6"/>
      <c r="Y753" s="7"/>
      <c r="Z753" s="7"/>
      <c r="AA753" s="7"/>
      <c r="AB753" s="9"/>
      <c r="AD753" s="9"/>
      <c r="AF753" s="7"/>
    </row>
    <row r="754" ht="15.75" customHeight="1">
      <c r="W754" s="6"/>
      <c r="X754" s="6"/>
      <c r="Y754" s="7"/>
      <c r="Z754" s="7"/>
      <c r="AA754" s="7"/>
      <c r="AB754" s="9"/>
      <c r="AD754" s="9"/>
      <c r="AF754" s="7"/>
    </row>
    <row r="755" ht="15.75" customHeight="1">
      <c r="W755" s="6"/>
      <c r="X755" s="6"/>
      <c r="Y755" s="7"/>
      <c r="Z755" s="7"/>
      <c r="AA755" s="7"/>
      <c r="AB755" s="9"/>
      <c r="AD755" s="9"/>
      <c r="AF755" s="7"/>
    </row>
    <row r="756" ht="15.75" customHeight="1">
      <c r="W756" s="6"/>
      <c r="X756" s="6"/>
      <c r="Y756" s="7"/>
      <c r="Z756" s="7"/>
      <c r="AA756" s="7"/>
      <c r="AB756" s="9"/>
      <c r="AD756" s="9"/>
      <c r="AF756" s="7"/>
    </row>
    <row r="757" ht="15.75" customHeight="1">
      <c r="W757" s="6"/>
      <c r="X757" s="6"/>
      <c r="Y757" s="7"/>
      <c r="Z757" s="7"/>
      <c r="AA757" s="7"/>
      <c r="AB757" s="9"/>
      <c r="AD757" s="9"/>
      <c r="AF757" s="7"/>
    </row>
    <row r="758" ht="15.75" customHeight="1">
      <c r="W758" s="6"/>
      <c r="X758" s="6"/>
      <c r="Y758" s="7"/>
      <c r="Z758" s="7"/>
      <c r="AA758" s="7"/>
      <c r="AB758" s="9"/>
      <c r="AD758" s="9"/>
      <c r="AF758" s="7"/>
    </row>
    <row r="759" ht="15.75" customHeight="1">
      <c r="W759" s="6"/>
      <c r="X759" s="6"/>
      <c r="Y759" s="7"/>
      <c r="Z759" s="7"/>
      <c r="AA759" s="7"/>
      <c r="AB759" s="9"/>
      <c r="AD759" s="9"/>
      <c r="AF759" s="7"/>
    </row>
    <row r="760" ht="15.75" customHeight="1">
      <c r="W760" s="6"/>
      <c r="X760" s="6"/>
      <c r="Y760" s="7"/>
      <c r="Z760" s="7"/>
      <c r="AA760" s="7"/>
      <c r="AB760" s="9"/>
      <c r="AD760" s="9"/>
      <c r="AF760" s="7"/>
    </row>
    <row r="761" ht="15.75" customHeight="1">
      <c r="W761" s="6"/>
      <c r="X761" s="6"/>
      <c r="Y761" s="7"/>
      <c r="Z761" s="7"/>
      <c r="AA761" s="7"/>
      <c r="AB761" s="9"/>
      <c r="AD761" s="9"/>
      <c r="AF761" s="7"/>
    </row>
    <row r="762" ht="15.75" customHeight="1">
      <c r="W762" s="6"/>
      <c r="X762" s="6"/>
      <c r="Y762" s="7"/>
      <c r="Z762" s="7"/>
      <c r="AA762" s="7"/>
      <c r="AB762" s="9"/>
      <c r="AD762" s="9"/>
      <c r="AF762" s="7"/>
    </row>
    <row r="763" ht="15.75" customHeight="1">
      <c r="W763" s="6"/>
      <c r="X763" s="6"/>
      <c r="Y763" s="7"/>
      <c r="Z763" s="7"/>
      <c r="AA763" s="7"/>
      <c r="AB763" s="9"/>
      <c r="AD763" s="9"/>
      <c r="AF763" s="7"/>
    </row>
    <row r="764" ht="15.75" customHeight="1">
      <c r="W764" s="6"/>
      <c r="X764" s="6"/>
      <c r="Y764" s="7"/>
      <c r="Z764" s="7"/>
      <c r="AA764" s="7"/>
      <c r="AB764" s="9"/>
      <c r="AD764" s="9"/>
      <c r="AF764" s="7"/>
    </row>
    <row r="765" ht="15.75" customHeight="1">
      <c r="W765" s="6"/>
      <c r="X765" s="6"/>
      <c r="Y765" s="7"/>
      <c r="Z765" s="7"/>
      <c r="AA765" s="7"/>
      <c r="AB765" s="9"/>
      <c r="AD765" s="9"/>
      <c r="AF765" s="7"/>
    </row>
    <row r="766" ht="15.75" customHeight="1">
      <c r="W766" s="6"/>
      <c r="X766" s="6"/>
      <c r="Y766" s="7"/>
      <c r="Z766" s="7"/>
      <c r="AA766" s="7"/>
      <c r="AB766" s="9"/>
      <c r="AD766" s="9"/>
      <c r="AF766" s="7"/>
    </row>
    <row r="767" ht="15.75" customHeight="1">
      <c r="W767" s="6"/>
      <c r="X767" s="6"/>
      <c r="Y767" s="7"/>
      <c r="Z767" s="7"/>
      <c r="AA767" s="7"/>
      <c r="AB767" s="9"/>
      <c r="AD767" s="9"/>
      <c r="AF767" s="7"/>
    </row>
    <row r="768" ht="15.75" customHeight="1">
      <c r="W768" s="6"/>
      <c r="X768" s="6"/>
      <c r="Y768" s="7"/>
      <c r="Z768" s="7"/>
      <c r="AA768" s="7"/>
      <c r="AB768" s="9"/>
      <c r="AD768" s="9"/>
      <c r="AF768" s="7"/>
    </row>
    <row r="769" ht="15.75" customHeight="1">
      <c r="W769" s="6"/>
      <c r="X769" s="6"/>
      <c r="Y769" s="7"/>
      <c r="Z769" s="7"/>
      <c r="AA769" s="7"/>
      <c r="AB769" s="9"/>
      <c r="AD769" s="9"/>
      <c r="AF769" s="7"/>
    </row>
    <row r="770" ht="15.75" customHeight="1">
      <c r="W770" s="6"/>
      <c r="X770" s="6"/>
      <c r="Y770" s="7"/>
      <c r="Z770" s="7"/>
      <c r="AA770" s="7"/>
      <c r="AB770" s="9"/>
      <c r="AD770" s="9"/>
      <c r="AF770" s="7"/>
    </row>
    <row r="771" ht="15.75" customHeight="1">
      <c r="W771" s="6"/>
      <c r="X771" s="6"/>
      <c r="Y771" s="7"/>
      <c r="Z771" s="7"/>
      <c r="AA771" s="7"/>
      <c r="AB771" s="9"/>
      <c r="AD771" s="9"/>
      <c r="AF771" s="7"/>
    </row>
    <row r="772" ht="15.75" customHeight="1">
      <c r="W772" s="6"/>
      <c r="X772" s="6"/>
      <c r="Y772" s="7"/>
      <c r="Z772" s="7"/>
      <c r="AA772" s="7"/>
      <c r="AB772" s="9"/>
      <c r="AD772" s="9"/>
      <c r="AF772" s="7"/>
    </row>
    <row r="773" ht="15.75" customHeight="1">
      <c r="W773" s="6"/>
      <c r="X773" s="6"/>
      <c r="Y773" s="7"/>
      <c r="Z773" s="7"/>
      <c r="AA773" s="7"/>
      <c r="AB773" s="9"/>
      <c r="AD773" s="9"/>
      <c r="AF773" s="7"/>
    </row>
    <row r="774" ht="15.75" customHeight="1">
      <c r="W774" s="6"/>
      <c r="X774" s="6"/>
      <c r="Y774" s="7"/>
      <c r="Z774" s="7"/>
      <c r="AA774" s="7"/>
      <c r="AB774" s="9"/>
      <c r="AD774" s="9"/>
      <c r="AF774" s="7"/>
    </row>
    <row r="775" ht="15.75" customHeight="1">
      <c r="W775" s="6"/>
      <c r="X775" s="6"/>
      <c r="Y775" s="7"/>
      <c r="Z775" s="7"/>
      <c r="AA775" s="7"/>
      <c r="AB775" s="9"/>
      <c r="AD775" s="9"/>
      <c r="AF775" s="7"/>
    </row>
    <row r="776" ht="15.75" customHeight="1">
      <c r="W776" s="6"/>
      <c r="X776" s="6"/>
      <c r="Y776" s="7"/>
      <c r="Z776" s="7"/>
      <c r="AA776" s="7"/>
      <c r="AB776" s="9"/>
      <c r="AD776" s="9"/>
      <c r="AF776" s="7"/>
    </row>
    <row r="777" ht="15.75" customHeight="1">
      <c r="W777" s="6"/>
      <c r="X777" s="6"/>
      <c r="Y777" s="7"/>
      <c r="Z777" s="7"/>
      <c r="AA777" s="7"/>
      <c r="AB777" s="9"/>
      <c r="AD777" s="9"/>
      <c r="AF777" s="7"/>
    </row>
    <row r="778" ht="15.75" customHeight="1">
      <c r="W778" s="6"/>
      <c r="X778" s="6"/>
      <c r="Y778" s="7"/>
      <c r="Z778" s="7"/>
      <c r="AA778" s="7"/>
      <c r="AB778" s="9"/>
      <c r="AD778" s="9"/>
      <c r="AF778" s="7"/>
    </row>
    <row r="779" ht="15.75" customHeight="1">
      <c r="W779" s="6"/>
      <c r="X779" s="6"/>
      <c r="Y779" s="7"/>
      <c r="Z779" s="7"/>
      <c r="AA779" s="7"/>
      <c r="AB779" s="9"/>
      <c r="AD779" s="9"/>
      <c r="AF779" s="7"/>
    </row>
    <row r="780" ht="15.75" customHeight="1">
      <c r="W780" s="6"/>
      <c r="X780" s="6"/>
      <c r="Y780" s="7"/>
      <c r="Z780" s="7"/>
      <c r="AA780" s="7"/>
      <c r="AB780" s="9"/>
      <c r="AD780" s="9"/>
      <c r="AF780" s="7"/>
    </row>
    <row r="781" ht="15.75" customHeight="1">
      <c r="W781" s="6"/>
      <c r="X781" s="6"/>
      <c r="Y781" s="7"/>
      <c r="Z781" s="7"/>
      <c r="AA781" s="7"/>
      <c r="AB781" s="9"/>
      <c r="AD781" s="9"/>
      <c r="AF781" s="7"/>
    </row>
    <row r="782" ht="15.75" customHeight="1">
      <c r="W782" s="6"/>
      <c r="X782" s="6"/>
      <c r="Y782" s="7"/>
      <c r="Z782" s="7"/>
      <c r="AA782" s="7"/>
      <c r="AB782" s="9"/>
      <c r="AD782" s="9"/>
      <c r="AF782" s="7"/>
    </row>
    <row r="783" ht="15.75" customHeight="1">
      <c r="W783" s="6"/>
      <c r="X783" s="6"/>
      <c r="Y783" s="7"/>
      <c r="Z783" s="7"/>
      <c r="AA783" s="7"/>
      <c r="AB783" s="9"/>
      <c r="AD783" s="9"/>
      <c r="AF783" s="7"/>
    </row>
    <row r="784" ht="15.75" customHeight="1">
      <c r="W784" s="6"/>
      <c r="X784" s="6"/>
      <c r="Y784" s="7"/>
      <c r="Z784" s="7"/>
      <c r="AA784" s="7"/>
      <c r="AB784" s="9"/>
      <c r="AD784" s="9"/>
      <c r="AF784" s="7"/>
    </row>
    <row r="785" ht="15.75" customHeight="1">
      <c r="W785" s="6"/>
      <c r="X785" s="6"/>
      <c r="Y785" s="7"/>
      <c r="Z785" s="7"/>
      <c r="AA785" s="7"/>
      <c r="AB785" s="9"/>
      <c r="AD785" s="9"/>
      <c r="AF785" s="7"/>
    </row>
    <row r="786" ht="15.75" customHeight="1">
      <c r="W786" s="6"/>
      <c r="X786" s="6"/>
      <c r="Y786" s="7"/>
      <c r="Z786" s="7"/>
      <c r="AA786" s="7"/>
      <c r="AB786" s="9"/>
      <c r="AD786" s="9"/>
      <c r="AF786" s="7"/>
    </row>
    <row r="787" ht="15.75" customHeight="1">
      <c r="W787" s="6"/>
      <c r="X787" s="6"/>
      <c r="Y787" s="7"/>
      <c r="Z787" s="7"/>
      <c r="AA787" s="7"/>
      <c r="AB787" s="9"/>
      <c r="AD787" s="9"/>
      <c r="AF787" s="7"/>
    </row>
    <row r="788" ht="15.75" customHeight="1">
      <c r="W788" s="6"/>
      <c r="X788" s="6"/>
      <c r="Y788" s="7"/>
      <c r="Z788" s="7"/>
      <c r="AA788" s="7"/>
      <c r="AB788" s="9"/>
      <c r="AD788" s="9"/>
      <c r="AF788" s="7"/>
    </row>
    <row r="789" ht="15.75" customHeight="1">
      <c r="W789" s="6"/>
      <c r="X789" s="6"/>
      <c r="Y789" s="7"/>
      <c r="Z789" s="7"/>
      <c r="AA789" s="7"/>
      <c r="AB789" s="9"/>
      <c r="AD789" s="9"/>
      <c r="AF789" s="7"/>
    </row>
    <row r="790" ht="15.75" customHeight="1">
      <c r="W790" s="6"/>
      <c r="X790" s="6"/>
      <c r="Y790" s="7"/>
      <c r="Z790" s="7"/>
      <c r="AA790" s="7"/>
      <c r="AB790" s="9"/>
      <c r="AD790" s="9"/>
      <c r="AF790" s="7"/>
    </row>
    <row r="791" ht="15.75" customHeight="1">
      <c r="W791" s="6"/>
      <c r="X791" s="6"/>
      <c r="Y791" s="7"/>
      <c r="Z791" s="7"/>
      <c r="AA791" s="7"/>
      <c r="AB791" s="9"/>
      <c r="AD791" s="9"/>
      <c r="AF791" s="7"/>
    </row>
    <row r="792" ht="15.75" customHeight="1">
      <c r="W792" s="6"/>
      <c r="X792" s="6"/>
      <c r="Y792" s="7"/>
      <c r="Z792" s="7"/>
      <c r="AA792" s="7"/>
      <c r="AB792" s="9"/>
      <c r="AD792" s="9"/>
      <c r="AF792" s="7"/>
    </row>
    <row r="793" ht="15.75" customHeight="1">
      <c r="W793" s="6"/>
      <c r="X793" s="6"/>
      <c r="Y793" s="7"/>
      <c r="Z793" s="7"/>
      <c r="AA793" s="7"/>
      <c r="AB793" s="9"/>
      <c r="AD793" s="9"/>
      <c r="AF793" s="7"/>
    </row>
    <row r="794" ht="15.75" customHeight="1">
      <c r="W794" s="6"/>
      <c r="X794" s="6"/>
      <c r="Y794" s="7"/>
      <c r="Z794" s="7"/>
      <c r="AA794" s="7"/>
      <c r="AB794" s="9"/>
      <c r="AD794" s="9"/>
      <c r="AF794" s="7"/>
    </row>
    <row r="795" ht="15.75" customHeight="1">
      <c r="W795" s="6"/>
      <c r="X795" s="6"/>
      <c r="Y795" s="7"/>
      <c r="Z795" s="7"/>
      <c r="AA795" s="7"/>
      <c r="AB795" s="9"/>
      <c r="AD795" s="9"/>
      <c r="AF795" s="7"/>
    </row>
    <row r="796" ht="15.75" customHeight="1">
      <c r="W796" s="6"/>
      <c r="X796" s="6"/>
      <c r="Y796" s="7"/>
      <c r="Z796" s="7"/>
      <c r="AA796" s="7"/>
      <c r="AB796" s="9"/>
      <c r="AD796" s="9"/>
      <c r="AF796" s="7"/>
    </row>
    <row r="797" ht="15.75" customHeight="1">
      <c r="W797" s="6"/>
      <c r="X797" s="6"/>
      <c r="Y797" s="7"/>
      <c r="Z797" s="7"/>
      <c r="AA797" s="7"/>
      <c r="AB797" s="9"/>
      <c r="AD797" s="9"/>
      <c r="AF797" s="7"/>
    </row>
    <row r="798" ht="15.75" customHeight="1">
      <c r="W798" s="6"/>
      <c r="X798" s="6"/>
      <c r="Y798" s="7"/>
      <c r="Z798" s="7"/>
      <c r="AA798" s="7"/>
      <c r="AB798" s="9"/>
      <c r="AD798" s="9"/>
      <c r="AF798" s="7"/>
    </row>
    <row r="799" ht="15.75" customHeight="1">
      <c r="W799" s="6"/>
      <c r="X799" s="6"/>
      <c r="Y799" s="7"/>
      <c r="Z799" s="7"/>
      <c r="AA799" s="7"/>
      <c r="AB799" s="9"/>
      <c r="AD799" s="9"/>
      <c r="AF799" s="7"/>
    </row>
    <row r="800" ht="15.75" customHeight="1">
      <c r="W800" s="6"/>
      <c r="X800" s="6"/>
      <c r="Y800" s="7"/>
      <c r="Z800" s="7"/>
      <c r="AA800" s="7"/>
      <c r="AB800" s="9"/>
      <c r="AD800" s="9"/>
      <c r="AF800" s="7"/>
    </row>
    <row r="801" ht="15.75" customHeight="1">
      <c r="W801" s="6"/>
      <c r="X801" s="6"/>
      <c r="Y801" s="7"/>
      <c r="Z801" s="7"/>
      <c r="AA801" s="7"/>
      <c r="AB801" s="9"/>
      <c r="AD801" s="9"/>
      <c r="AF801" s="7"/>
    </row>
    <row r="802" ht="15.75" customHeight="1">
      <c r="W802" s="6"/>
      <c r="X802" s="6"/>
      <c r="Y802" s="7"/>
      <c r="Z802" s="7"/>
      <c r="AA802" s="7"/>
      <c r="AB802" s="9"/>
      <c r="AD802" s="9"/>
      <c r="AF802" s="7"/>
    </row>
    <row r="803" ht="15.75" customHeight="1">
      <c r="W803" s="6"/>
      <c r="X803" s="6"/>
      <c r="Y803" s="7"/>
      <c r="Z803" s="7"/>
      <c r="AA803" s="7"/>
      <c r="AB803" s="9"/>
      <c r="AD803" s="9"/>
      <c r="AF803" s="7"/>
    </row>
    <row r="804" ht="15.75" customHeight="1">
      <c r="W804" s="6"/>
      <c r="X804" s="6"/>
      <c r="Y804" s="7"/>
      <c r="Z804" s="7"/>
      <c r="AA804" s="7"/>
      <c r="AB804" s="9"/>
      <c r="AD804" s="9"/>
      <c r="AF804" s="7"/>
    </row>
    <row r="805" ht="15.75" customHeight="1">
      <c r="W805" s="6"/>
      <c r="X805" s="6"/>
      <c r="Y805" s="7"/>
      <c r="Z805" s="7"/>
      <c r="AA805" s="7"/>
      <c r="AB805" s="9"/>
      <c r="AD805" s="9"/>
      <c r="AF805" s="7"/>
    </row>
    <row r="806" ht="15.75" customHeight="1">
      <c r="W806" s="6"/>
      <c r="X806" s="6"/>
      <c r="Y806" s="7"/>
      <c r="Z806" s="7"/>
      <c r="AA806" s="7"/>
      <c r="AB806" s="9"/>
      <c r="AD806" s="9"/>
      <c r="AF806" s="7"/>
    </row>
    <row r="807" ht="15.75" customHeight="1">
      <c r="W807" s="6"/>
      <c r="X807" s="6"/>
      <c r="Y807" s="7"/>
      <c r="Z807" s="7"/>
      <c r="AA807" s="7"/>
      <c r="AB807" s="9"/>
      <c r="AD807" s="9"/>
      <c r="AF807" s="7"/>
    </row>
    <row r="808" ht="15.75" customHeight="1">
      <c r="W808" s="6"/>
      <c r="X808" s="6"/>
      <c r="Y808" s="7"/>
      <c r="Z808" s="7"/>
      <c r="AA808" s="7"/>
      <c r="AB808" s="9"/>
      <c r="AD808" s="9"/>
      <c r="AF808" s="7"/>
    </row>
    <row r="809" ht="15.75" customHeight="1">
      <c r="W809" s="6"/>
      <c r="X809" s="6"/>
      <c r="Y809" s="7"/>
      <c r="Z809" s="7"/>
      <c r="AA809" s="7"/>
      <c r="AB809" s="9"/>
      <c r="AD809" s="9"/>
      <c r="AF809" s="7"/>
    </row>
    <row r="810" ht="15.75" customHeight="1">
      <c r="W810" s="6"/>
      <c r="X810" s="6"/>
      <c r="Y810" s="7"/>
      <c r="Z810" s="7"/>
      <c r="AA810" s="7"/>
      <c r="AB810" s="9"/>
      <c r="AD810" s="9"/>
      <c r="AF810" s="7"/>
    </row>
    <row r="811" ht="15.75" customHeight="1">
      <c r="W811" s="6"/>
      <c r="X811" s="6"/>
      <c r="Y811" s="7"/>
      <c r="Z811" s="7"/>
      <c r="AA811" s="7"/>
      <c r="AB811" s="9"/>
      <c r="AD811" s="9"/>
      <c r="AF811" s="7"/>
    </row>
    <row r="812" ht="15.75" customHeight="1">
      <c r="W812" s="6"/>
      <c r="X812" s="6"/>
      <c r="Y812" s="7"/>
      <c r="Z812" s="7"/>
      <c r="AA812" s="7"/>
      <c r="AB812" s="9"/>
      <c r="AD812" s="9"/>
      <c r="AF812" s="7"/>
    </row>
    <row r="813" ht="15.75" customHeight="1">
      <c r="W813" s="6"/>
      <c r="X813" s="6"/>
      <c r="Y813" s="7"/>
      <c r="Z813" s="7"/>
      <c r="AA813" s="7"/>
      <c r="AB813" s="9"/>
      <c r="AD813" s="9"/>
      <c r="AF813" s="7"/>
    </row>
    <row r="814" ht="15.75" customHeight="1">
      <c r="W814" s="6"/>
      <c r="X814" s="6"/>
      <c r="Y814" s="7"/>
      <c r="Z814" s="7"/>
      <c r="AA814" s="7"/>
      <c r="AB814" s="9"/>
      <c r="AD814" s="9"/>
      <c r="AF814" s="7"/>
    </row>
    <row r="815" ht="15.75" customHeight="1">
      <c r="W815" s="6"/>
      <c r="X815" s="6"/>
      <c r="Y815" s="7"/>
      <c r="Z815" s="7"/>
      <c r="AA815" s="7"/>
      <c r="AB815" s="9"/>
      <c r="AD815" s="9"/>
      <c r="AF815" s="7"/>
    </row>
    <row r="816" ht="15.75" customHeight="1">
      <c r="W816" s="6"/>
      <c r="X816" s="6"/>
      <c r="Y816" s="7"/>
      <c r="Z816" s="7"/>
      <c r="AA816" s="7"/>
      <c r="AB816" s="9"/>
      <c r="AD816" s="9"/>
      <c r="AF816" s="7"/>
    </row>
    <row r="817" ht="15.75" customHeight="1">
      <c r="W817" s="6"/>
      <c r="X817" s="6"/>
      <c r="Y817" s="7"/>
      <c r="Z817" s="7"/>
      <c r="AA817" s="7"/>
      <c r="AB817" s="9"/>
      <c r="AD817" s="9"/>
      <c r="AF817" s="7"/>
    </row>
    <row r="818" ht="15.75" customHeight="1">
      <c r="W818" s="6"/>
      <c r="X818" s="6"/>
      <c r="Y818" s="7"/>
      <c r="Z818" s="7"/>
      <c r="AA818" s="7"/>
      <c r="AB818" s="9"/>
      <c r="AD818" s="9"/>
      <c r="AF818" s="7"/>
    </row>
    <row r="819" ht="15.75" customHeight="1">
      <c r="W819" s="6"/>
      <c r="X819" s="6"/>
      <c r="Y819" s="7"/>
      <c r="Z819" s="7"/>
      <c r="AA819" s="7"/>
      <c r="AB819" s="9"/>
      <c r="AD819" s="9"/>
      <c r="AF819" s="7"/>
    </row>
    <row r="820" ht="15.75" customHeight="1">
      <c r="W820" s="6"/>
      <c r="X820" s="6"/>
      <c r="Y820" s="7"/>
      <c r="Z820" s="7"/>
      <c r="AA820" s="7"/>
      <c r="AB820" s="9"/>
      <c r="AD820" s="9"/>
      <c r="AF820" s="7"/>
    </row>
    <row r="821" ht="15.75" customHeight="1">
      <c r="W821" s="6"/>
      <c r="X821" s="6"/>
      <c r="Y821" s="7"/>
      <c r="Z821" s="7"/>
      <c r="AA821" s="7"/>
      <c r="AB821" s="9"/>
      <c r="AD821" s="9"/>
      <c r="AF821" s="7"/>
    </row>
    <row r="822" ht="15.75" customHeight="1">
      <c r="W822" s="6"/>
      <c r="X822" s="6"/>
      <c r="Y822" s="7"/>
      <c r="Z822" s="7"/>
      <c r="AA822" s="7"/>
      <c r="AB822" s="9"/>
      <c r="AD822" s="9"/>
      <c r="AF822" s="7"/>
    </row>
    <row r="823" ht="15.75" customHeight="1">
      <c r="W823" s="6"/>
      <c r="X823" s="6"/>
      <c r="Y823" s="7"/>
      <c r="Z823" s="7"/>
      <c r="AA823" s="7"/>
      <c r="AB823" s="9"/>
      <c r="AD823" s="9"/>
      <c r="AF823" s="7"/>
    </row>
    <row r="824" ht="15.75" customHeight="1">
      <c r="W824" s="6"/>
      <c r="X824" s="6"/>
      <c r="Y824" s="7"/>
      <c r="Z824" s="7"/>
      <c r="AA824" s="7"/>
      <c r="AB824" s="9"/>
      <c r="AD824" s="9"/>
      <c r="AF824" s="7"/>
    </row>
    <row r="825" ht="15.75" customHeight="1">
      <c r="W825" s="6"/>
      <c r="X825" s="6"/>
      <c r="Y825" s="7"/>
      <c r="Z825" s="7"/>
      <c r="AA825" s="7"/>
      <c r="AB825" s="9"/>
      <c r="AD825" s="9"/>
      <c r="AF825" s="7"/>
    </row>
    <row r="826" ht="15.75" customHeight="1">
      <c r="W826" s="6"/>
      <c r="X826" s="6"/>
      <c r="Y826" s="7"/>
      <c r="Z826" s="7"/>
      <c r="AA826" s="7"/>
      <c r="AB826" s="9"/>
      <c r="AD826" s="9"/>
      <c r="AF826" s="7"/>
    </row>
    <row r="827" ht="15.75" customHeight="1">
      <c r="W827" s="6"/>
      <c r="X827" s="6"/>
      <c r="Y827" s="7"/>
      <c r="Z827" s="7"/>
      <c r="AA827" s="7"/>
      <c r="AB827" s="9"/>
      <c r="AD827" s="9"/>
      <c r="AF827" s="7"/>
    </row>
    <row r="828" ht="15.75" customHeight="1">
      <c r="W828" s="6"/>
      <c r="X828" s="6"/>
      <c r="Y828" s="7"/>
      <c r="Z828" s="7"/>
      <c r="AA828" s="7"/>
      <c r="AB828" s="9"/>
      <c r="AD828" s="9"/>
      <c r="AF828" s="7"/>
    </row>
    <row r="829" ht="15.75" customHeight="1">
      <c r="W829" s="6"/>
      <c r="X829" s="6"/>
      <c r="Y829" s="7"/>
      <c r="Z829" s="7"/>
      <c r="AA829" s="7"/>
      <c r="AB829" s="9"/>
      <c r="AD829" s="9"/>
      <c r="AF829" s="7"/>
    </row>
    <row r="830" ht="15.75" customHeight="1">
      <c r="W830" s="6"/>
      <c r="X830" s="6"/>
      <c r="Y830" s="7"/>
      <c r="Z830" s="7"/>
      <c r="AA830" s="7"/>
      <c r="AB830" s="9"/>
      <c r="AD830" s="9"/>
      <c r="AF830" s="7"/>
    </row>
    <row r="831" ht="15.75" customHeight="1">
      <c r="W831" s="6"/>
      <c r="X831" s="6"/>
      <c r="Y831" s="7"/>
      <c r="Z831" s="7"/>
      <c r="AA831" s="7"/>
      <c r="AB831" s="9"/>
      <c r="AD831" s="9"/>
      <c r="AF831" s="7"/>
    </row>
    <row r="832" ht="15.75" customHeight="1">
      <c r="W832" s="6"/>
      <c r="X832" s="6"/>
      <c r="Y832" s="7"/>
      <c r="Z832" s="7"/>
      <c r="AA832" s="7"/>
      <c r="AB832" s="9"/>
      <c r="AD832" s="9"/>
      <c r="AF832" s="7"/>
    </row>
    <row r="833" ht="15.75" customHeight="1">
      <c r="W833" s="6"/>
      <c r="X833" s="6"/>
      <c r="Y833" s="7"/>
      <c r="Z833" s="7"/>
      <c r="AA833" s="7"/>
      <c r="AB833" s="9"/>
      <c r="AD833" s="9"/>
      <c r="AF833" s="7"/>
    </row>
    <row r="834" ht="15.75" customHeight="1">
      <c r="W834" s="6"/>
      <c r="X834" s="6"/>
      <c r="Y834" s="7"/>
      <c r="Z834" s="7"/>
      <c r="AA834" s="7"/>
      <c r="AB834" s="9"/>
      <c r="AD834" s="9"/>
      <c r="AF834" s="7"/>
    </row>
    <row r="835" ht="15.75" customHeight="1">
      <c r="W835" s="6"/>
      <c r="X835" s="6"/>
      <c r="Y835" s="7"/>
      <c r="Z835" s="7"/>
      <c r="AA835" s="7"/>
      <c r="AB835" s="9"/>
      <c r="AD835" s="9"/>
      <c r="AF835" s="7"/>
    </row>
    <row r="836" ht="15.75" customHeight="1">
      <c r="W836" s="6"/>
      <c r="X836" s="6"/>
      <c r="Y836" s="7"/>
      <c r="Z836" s="7"/>
      <c r="AA836" s="7"/>
      <c r="AB836" s="9"/>
      <c r="AD836" s="9"/>
      <c r="AF836" s="7"/>
    </row>
    <row r="837" ht="15.75" customHeight="1">
      <c r="W837" s="6"/>
      <c r="X837" s="6"/>
      <c r="Y837" s="7"/>
      <c r="Z837" s="7"/>
      <c r="AA837" s="7"/>
      <c r="AB837" s="9"/>
      <c r="AD837" s="9"/>
      <c r="AF837" s="7"/>
    </row>
    <row r="838" ht="15.75" customHeight="1">
      <c r="W838" s="6"/>
      <c r="X838" s="6"/>
      <c r="Y838" s="7"/>
      <c r="Z838" s="7"/>
      <c r="AA838" s="7"/>
      <c r="AB838" s="9"/>
      <c r="AD838" s="9"/>
      <c r="AF838" s="7"/>
    </row>
    <row r="839" ht="15.75" customHeight="1">
      <c r="W839" s="6"/>
      <c r="X839" s="6"/>
      <c r="Y839" s="7"/>
      <c r="Z839" s="7"/>
      <c r="AA839" s="7"/>
      <c r="AB839" s="9"/>
      <c r="AD839" s="9"/>
      <c r="AF839" s="7"/>
    </row>
    <row r="840" ht="15.75" customHeight="1">
      <c r="W840" s="6"/>
      <c r="X840" s="6"/>
      <c r="Y840" s="7"/>
      <c r="Z840" s="7"/>
      <c r="AA840" s="7"/>
      <c r="AB840" s="9"/>
      <c r="AD840" s="9"/>
      <c r="AF840" s="7"/>
    </row>
    <row r="841" ht="15.75" customHeight="1">
      <c r="W841" s="6"/>
      <c r="X841" s="6"/>
      <c r="Y841" s="7"/>
      <c r="Z841" s="7"/>
      <c r="AA841" s="7"/>
      <c r="AB841" s="9"/>
      <c r="AD841" s="9"/>
      <c r="AF841" s="7"/>
    </row>
    <row r="842" ht="15.75" customHeight="1">
      <c r="W842" s="6"/>
      <c r="X842" s="6"/>
      <c r="Y842" s="7"/>
      <c r="Z842" s="7"/>
      <c r="AA842" s="7"/>
      <c r="AB842" s="9"/>
      <c r="AD842" s="9"/>
      <c r="AF842" s="7"/>
    </row>
    <row r="843" ht="15.75" customHeight="1">
      <c r="W843" s="6"/>
      <c r="X843" s="6"/>
      <c r="Y843" s="7"/>
      <c r="Z843" s="7"/>
      <c r="AA843" s="7"/>
      <c r="AB843" s="9"/>
      <c r="AD843" s="9"/>
      <c r="AF843" s="7"/>
    </row>
    <row r="844" ht="15.75" customHeight="1">
      <c r="W844" s="6"/>
      <c r="X844" s="6"/>
      <c r="Y844" s="7"/>
      <c r="Z844" s="7"/>
      <c r="AA844" s="7"/>
      <c r="AB844" s="9"/>
      <c r="AD844" s="9"/>
      <c r="AF844" s="7"/>
    </row>
    <row r="845" ht="15.75" customHeight="1">
      <c r="W845" s="6"/>
      <c r="X845" s="6"/>
      <c r="Y845" s="7"/>
      <c r="Z845" s="7"/>
      <c r="AA845" s="7"/>
      <c r="AB845" s="9"/>
      <c r="AD845" s="9"/>
      <c r="AF845" s="7"/>
    </row>
    <row r="846" ht="15.75" customHeight="1">
      <c r="W846" s="6"/>
      <c r="X846" s="6"/>
      <c r="Y846" s="7"/>
      <c r="Z846" s="7"/>
      <c r="AA846" s="7"/>
      <c r="AB846" s="9"/>
      <c r="AD846" s="9"/>
      <c r="AF846" s="7"/>
    </row>
    <row r="847" ht="15.75" customHeight="1">
      <c r="W847" s="6"/>
      <c r="X847" s="6"/>
      <c r="Y847" s="7"/>
      <c r="Z847" s="7"/>
      <c r="AA847" s="7"/>
      <c r="AB847" s="9"/>
      <c r="AD847" s="9"/>
      <c r="AF847" s="7"/>
    </row>
    <row r="848" ht="15.75" customHeight="1">
      <c r="W848" s="6"/>
      <c r="X848" s="6"/>
      <c r="Y848" s="7"/>
      <c r="Z848" s="7"/>
      <c r="AA848" s="7"/>
      <c r="AB848" s="9"/>
      <c r="AD848" s="9"/>
      <c r="AF848" s="7"/>
    </row>
    <row r="849" ht="15.75" customHeight="1">
      <c r="W849" s="6"/>
      <c r="X849" s="6"/>
      <c r="Y849" s="7"/>
      <c r="Z849" s="7"/>
      <c r="AA849" s="7"/>
      <c r="AB849" s="9"/>
      <c r="AD849" s="9"/>
      <c r="AF849" s="7"/>
    </row>
    <row r="850" ht="15.75" customHeight="1">
      <c r="W850" s="6"/>
      <c r="X850" s="6"/>
      <c r="Y850" s="7"/>
      <c r="Z850" s="7"/>
      <c r="AA850" s="7"/>
      <c r="AB850" s="9"/>
      <c r="AD850" s="9"/>
      <c r="AF850" s="7"/>
    </row>
    <row r="851" ht="15.75" customHeight="1">
      <c r="W851" s="6"/>
      <c r="X851" s="6"/>
      <c r="Y851" s="7"/>
      <c r="Z851" s="7"/>
      <c r="AA851" s="7"/>
      <c r="AB851" s="9"/>
      <c r="AD851" s="9"/>
      <c r="AF851" s="7"/>
    </row>
    <row r="852" ht="15.75" customHeight="1">
      <c r="W852" s="6"/>
      <c r="X852" s="6"/>
      <c r="Y852" s="7"/>
      <c r="Z852" s="7"/>
      <c r="AA852" s="7"/>
      <c r="AB852" s="9"/>
      <c r="AD852" s="9"/>
      <c r="AF852" s="7"/>
    </row>
    <row r="853" ht="15.75" customHeight="1">
      <c r="W853" s="6"/>
      <c r="X853" s="6"/>
      <c r="Y853" s="7"/>
      <c r="Z853" s="7"/>
      <c r="AA853" s="7"/>
      <c r="AB853" s="9"/>
      <c r="AD853" s="9"/>
      <c r="AF853" s="7"/>
    </row>
    <row r="854" ht="15.75" customHeight="1">
      <c r="W854" s="6"/>
      <c r="X854" s="6"/>
      <c r="Y854" s="7"/>
      <c r="Z854" s="7"/>
      <c r="AA854" s="7"/>
      <c r="AB854" s="9"/>
      <c r="AD854" s="9"/>
      <c r="AF854" s="7"/>
    </row>
    <row r="855" ht="15.75" customHeight="1">
      <c r="W855" s="6"/>
      <c r="X855" s="6"/>
      <c r="Y855" s="7"/>
      <c r="Z855" s="7"/>
      <c r="AA855" s="7"/>
      <c r="AB855" s="9"/>
      <c r="AD855" s="9"/>
      <c r="AF855" s="7"/>
    </row>
    <row r="856" ht="15.75" customHeight="1">
      <c r="W856" s="6"/>
      <c r="X856" s="6"/>
      <c r="Y856" s="7"/>
      <c r="Z856" s="7"/>
      <c r="AA856" s="7"/>
      <c r="AB856" s="9"/>
      <c r="AD856" s="9"/>
      <c r="AF856" s="7"/>
    </row>
    <row r="857" ht="15.75" customHeight="1">
      <c r="W857" s="6"/>
      <c r="X857" s="6"/>
      <c r="Y857" s="7"/>
      <c r="Z857" s="7"/>
      <c r="AA857" s="7"/>
      <c r="AB857" s="9"/>
      <c r="AD857" s="9"/>
      <c r="AF857" s="7"/>
    </row>
    <row r="858" ht="15.75" customHeight="1">
      <c r="W858" s="6"/>
      <c r="X858" s="6"/>
      <c r="Y858" s="7"/>
      <c r="Z858" s="7"/>
      <c r="AA858" s="7"/>
      <c r="AB858" s="9"/>
      <c r="AD858" s="9"/>
      <c r="AF858" s="7"/>
    </row>
    <row r="859" ht="15.75" customHeight="1">
      <c r="W859" s="6"/>
      <c r="X859" s="6"/>
      <c r="Y859" s="7"/>
      <c r="Z859" s="7"/>
      <c r="AA859" s="7"/>
      <c r="AB859" s="9"/>
      <c r="AD859" s="9"/>
      <c r="AF859" s="7"/>
    </row>
    <row r="860" ht="15.75" customHeight="1">
      <c r="W860" s="6"/>
      <c r="X860" s="6"/>
      <c r="Y860" s="7"/>
      <c r="Z860" s="7"/>
      <c r="AA860" s="7"/>
      <c r="AB860" s="9"/>
      <c r="AD860" s="9"/>
      <c r="AF860" s="7"/>
    </row>
    <row r="861" ht="15.75" customHeight="1">
      <c r="W861" s="6"/>
      <c r="X861" s="6"/>
      <c r="Y861" s="7"/>
      <c r="Z861" s="7"/>
      <c r="AA861" s="7"/>
      <c r="AB861" s="9"/>
      <c r="AD861" s="9"/>
      <c r="AF861" s="7"/>
    </row>
    <row r="862" ht="15.75" customHeight="1">
      <c r="W862" s="6"/>
      <c r="X862" s="6"/>
      <c r="Y862" s="7"/>
      <c r="Z862" s="7"/>
      <c r="AA862" s="7"/>
      <c r="AB862" s="9"/>
      <c r="AD862" s="9"/>
      <c r="AF862" s="7"/>
    </row>
    <row r="863" ht="15.75" customHeight="1">
      <c r="W863" s="6"/>
      <c r="X863" s="6"/>
      <c r="Y863" s="7"/>
      <c r="Z863" s="7"/>
      <c r="AA863" s="7"/>
      <c r="AB863" s="9"/>
      <c r="AD863" s="9"/>
      <c r="AF863" s="7"/>
    </row>
    <row r="864" ht="15.75" customHeight="1">
      <c r="W864" s="6"/>
      <c r="X864" s="6"/>
      <c r="Y864" s="7"/>
      <c r="Z864" s="7"/>
      <c r="AA864" s="7"/>
      <c r="AB864" s="9"/>
      <c r="AD864" s="9"/>
      <c r="AF864" s="7"/>
    </row>
    <row r="865" ht="15.75" customHeight="1">
      <c r="W865" s="6"/>
      <c r="X865" s="6"/>
      <c r="Y865" s="7"/>
      <c r="Z865" s="7"/>
      <c r="AA865" s="7"/>
      <c r="AB865" s="9"/>
      <c r="AD865" s="9"/>
      <c r="AF865" s="7"/>
    </row>
    <row r="866" ht="15.75" customHeight="1">
      <c r="W866" s="6"/>
      <c r="X866" s="6"/>
      <c r="Y866" s="7"/>
      <c r="Z866" s="7"/>
      <c r="AA866" s="7"/>
      <c r="AB866" s="9"/>
      <c r="AD866" s="9"/>
      <c r="AF866" s="7"/>
    </row>
    <row r="867" ht="15.75" customHeight="1">
      <c r="W867" s="6"/>
      <c r="X867" s="6"/>
      <c r="Y867" s="7"/>
      <c r="Z867" s="7"/>
      <c r="AA867" s="7"/>
      <c r="AB867" s="9"/>
      <c r="AD867" s="9"/>
      <c r="AF867" s="7"/>
    </row>
    <row r="868" ht="15.75" customHeight="1">
      <c r="W868" s="6"/>
      <c r="X868" s="6"/>
      <c r="Y868" s="7"/>
      <c r="Z868" s="7"/>
      <c r="AA868" s="7"/>
      <c r="AB868" s="9"/>
      <c r="AD868" s="9"/>
      <c r="AF868" s="7"/>
    </row>
    <row r="869" ht="15.75" customHeight="1">
      <c r="W869" s="6"/>
      <c r="X869" s="6"/>
      <c r="Y869" s="7"/>
      <c r="Z869" s="7"/>
      <c r="AA869" s="7"/>
      <c r="AB869" s="9"/>
      <c r="AD869" s="9"/>
      <c r="AF869" s="7"/>
    </row>
    <row r="870" ht="15.75" customHeight="1">
      <c r="W870" s="6"/>
      <c r="X870" s="6"/>
      <c r="Y870" s="7"/>
      <c r="Z870" s="7"/>
      <c r="AA870" s="7"/>
      <c r="AB870" s="9"/>
      <c r="AD870" s="9"/>
      <c r="AF870" s="7"/>
    </row>
    <row r="871" ht="15.75" customHeight="1">
      <c r="W871" s="6"/>
      <c r="X871" s="6"/>
      <c r="Y871" s="7"/>
      <c r="Z871" s="7"/>
      <c r="AA871" s="7"/>
      <c r="AB871" s="9"/>
      <c r="AD871" s="9"/>
      <c r="AF871" s="7"/>
    </row>
    <row r="872" ht="15.75" customHeight="1">
      <c r="W872" s="6"/>
      <c r="X872" s="6"/>
      <c r="Y872" s="7"/>
      <c r="Z872" s="7"/>
      <c r="AA872" s="7"/>
      <c r="AB872" s="9"/>
      <c r="AD872" s="9"/>
      <c r="AF872" s="7"/>
    </row>
    <row r="873" ht="15.75" customHeight="1">
      <c r="W873" s="6"/>
      <c r="X873" s="6"/>
      <c r="Y873" s="7"/>
      <c r="Z873" s="7"/>
      <c r="AA873" s="7"/>
      <c r="AB873" s="9"/>
      <c r="AD873" s="9"/>
      <c r="AF873" s="7"/>
    </row>
    <row r="874" ht="15.75" customHeight="1">
      <c r="W874" s="6"/>
      <c r="X874" s="6"/>
      <c r="Y874" s="7"/>
      <c r="Z874" s="7"/>
      <c r="AA874" s="7"/>
      <c r="AB874" s="9"/>
      <c r="AD874" s="9"/>
      <c r="AF874" s="7"/>
    </row>
    <row r="875" ht="15.75" customHeight="1">
      <c r="W875" s="6"/>
      <c r="X875" s="6"/>
      <c r="Y875" s="7"/>
      <c r="Z875" s="7"/>
      <c r="AA875" s="7"/>
      <c r="AB875" s="9"/>
      <c r="AD875" s="9"/>
      <c r="AF875" s="7"/>
    </row>
    <row r="876" ht="15.75" customHeight="1">
      <c r="W876" s="6"/>
      <c r="X876" s="6"/>
      <c r="Y876" s="7"/>
      <c r="Z876" s="7"/>
      <c r="AA876" s="7"/>
      <c r="AB876" s="9"/>
      <c r="AD876" s="9"/>
      <c r="AF876" s="7"/>
    </row>
    <row r="877" ht="15.75" customHeight="1">
      <c r="W877" s="6"/>
      <c r="X877" s="6"/>
      <c r="Y877" s="7"/>
      <c r="Z877" s="7"/>
      <c r="AA877" s="7"/>
      <c r="AB877" s="9"/>
      <c r="AD877" s="9"/>
      <c r="AF877" s="7"/>
    </row>
    <row r="878" ht="15.75" customHeight="1">
      <c r="W878" s="6"/>
      <c r="X878" s="6"/>
      <c r="Y878" s="7"/>
      <c r="Z878" s="7"/>
      <c r="AA878" s="7"/>
      <c r="AB878" s="9"/>
      <c r="AD878" s="9"/>
      <c r="AF878" s="7"/>
    </row>
    <row r="879" ht="15.75" customHeight="1">
      <c r="W879" s="6"/>
      <c r="X879" s="6"/>
      <c r="Y879" s="7"/>
      <c r="Z879" s="7"/>
      <c r="AA879" s="7"/>
      <c r="AB879" s="9"/>
      <c r="AD879" s="9"/>
      <c r="AF879" s="7"/>
    </row>
    <row r="880" ht="15.75" customHeight="1">
      <c r="W880" s="6"/>
      <c r="X880" s="6"/>
      <c r="Y880" s="7"/>
      <c r="Z880" s="7"/>
      <c r="AA880" s="7"/>
      <c r="AB880" s="9"/>
      <c r="AD880" s="9"/>
      <c r="AF880" s="7"/>
    </row>
    <row r="881" ht="15.75" customHeight="1">
      <c r="W881" s="6"/>
      <c r="X881" s="6"/>
      <c r="Y881" s="7"/>
      <c r="Z881" s="7"/>
      <c r="AA881" s="7"/>
      <c r="AB881" s="9"/>
      <c r="AD881" s="9"/>
      <c r="AF881" s="7"/>
    </row>
    <row r="882" ht="15.75" customHeight="1">
      <c r="W882" s="6"/>
      <c r="X882" s="6"/>
      <c r="Y882" s="7"/>
      <c r="Z882" s="7"/>
      <c r="AA882" s="7"/>
      <c r="AB882" s="9"/>
      <c r="AD882" s="9"/>
      <c r="AF882" s="7"/>
    </row>
    <row r="883" ht="15.75" customHeight="1">
      <c r="W883" s="6"/>
      <c r="X883" s="6"/>
      <c r="Y883" s="7"/>
      <c r="Z883" s="7"/>
      <c r="AA883" s="7"/>
      <c r="AB883" s="9"/>
      <c r="AD883" s="9"/>
      <c r="AF883" s="7"/>
    </row>
    <row r="884" ht="15.75" customHeight="1">
      <c r="W884" s="6"/>
      <c r="X884" s="6"/>
      <c r="Y884" s="7"/>
      <c r="Z884" s="7"/>
      <c r="AA884" s="7"/>
      <c r="AB884" s="9"/>
      <c r="AD884" s="9"/>
      <c r="AF884" s="7"/>
    </row>
    <row r="885" ht="15.75" customHeight="1">
      <c r="W885" s="6"/>
      <c r="X885" s="6"/>
      <c r="Y885" s="7"/>
      <c r="Z885" s="7"/>
      <c r="AA885" s="7"/>
      <c r="AB885" s="9"/>
      <c r="AD885" s="9"/>
      <c r="AF885" s="7"/>
    </row>
    <row r="886" ht="15.75" customHeight="1">
      <c r="W886" s="6"/>
      <c r="X886" s="6"/>
      <c r="Y886" s="7"/>
      <c r="Z886" s="7"/>
      <c r="AA886" s="7"/>
      <c r="AB886" s="9"/>
      <c r="AD886" s="9"/>
      <c r="AF886" s="7"/>
    </row>
    <row r="887" ht="15.75" customHeight="1">
      <c r="W887" s="6"/>
      <c r="X887" s="6"/>
      <c r="Y887" s="7"/>
      <c r="Z887" s="7"/>
      <c r="AA887" s="7"/>
      <c r="AB887" s="9"/>
      <c r="AD887" s="9"/>
      <c r="AF887" s="7"/>
    </row>
    <row r="888" ht="15.75" customHeight="1">
      <c r="W888" s="6"/>
      <c r="X888" s="6"/>
      <c r="Y888" s="7"/>
      <c r="Z888" s="7"/>
      <c r="AA888" s="7"/>
      <c r="AB888" s="9"/>
      <c r="AD888" s="9"/>
      <c r="AF888" s="7"/>
    </row>
    <row r="889" ht="15.75" customHeight="1">
      <c r="W889" s="6"/>
      <c r="X889" s="6"/>
      <c r="Y889" s="7"/>
      <c r="Z889" s="7"/>
      <c r="AA889" s="7"/>
      <c r="AB889" s="9"/>
      <c r="AD889" s="9"/>
      <c r="AF889" s="7"/>
    </row>
    <row r="890" ht="15.75" customHeight="1">
      <c r="W890" s="6"/>
      <c r="X890" s="6"/>
      <c r="Y890" s="7"/>
      <c r="Z890" s="7"/>
      <c r="AA890" s="7"/>
      <c r="AB890" s="9"/>
      <c r="AD890" s="9"/>
      <c r="AF890" s="7"/>
    </row>
    <row r="891" ht="15.75" customHeight="1">
      <c r="W891" s="6"/>
      <c r="X891" s="6"/>
      <c r="Y891" s="7"/>
      <c r="Z891" s="7"/>
      <c r="AA891" s="7"/>
      <c r="AB891" s="9"/>
      <c r="AD891" s="9"/>
      <c r="AF891" s="7"/>
    </row>
    <row r="892" ht="15.75" customHeight="1">
      <c r="W892" s="6"/>
      <c r="X892" s="6"/>
      <c r="Y892" s="7"/>
      <c r="Z892" s="7"/>
      <c r="AA892" s="7"/>
      <c r="AB892" s="9"/>
      <c r="AD892" s="9"/>
      <c r="AF892" s="7"/>
    </row>
    <row r="893" ht="15.75" customHeight="1">
      <c r="W893" s="6"/>
      <c r="X893" s="6"/>
      <c r="Y893" s="7"/>
      <c r="Z893" s="7"/>
      <c r="AA893" s="7"/>
      <c r="AB893" s="9"/>
      <c r="AD893" s="9"/>
      <c r="AF893" s="7"/>
    </row>
    <row r="894" ht="15.75" customHeight="1">
      <c r="W894" s="6"/>
      <c r="X894" s="6"/>
      <c r="Y894" s="7"/>
      <c r="Z894" s="7"/>
      <c r="AA894" s="7"/>
      <c r="AB894" s="9"/>
      <c r="AD894" s="9"/>
      <c r="AF894" s="7"/>
    </row>
    <row r="895" ht="15.75" customHeight="1">
      <c r="W895" s="6"/>
      <c r="X895" s="6"/>
      <c r="Y895" s="7"/>
      <c r="Z895" s="7"/>
      <c r="AA895" s="7"/>
      <c r="AB895" s="9"/>
      <c r="AD895" s="9"/>
      <c r="AF895" s="7"/>
    </row>
    <row r="896" ht="15.75" customHeight="1">
      <c r="W896" s="6"/>
      <c r="X896" s="6"/>
      <c r="Y896" s="7"/>
      <c r="Z896" s="7"/>
      <c r="AA896" s="7"/>
      <c r="AB896" s="9"/>
      <c r="AD896" s="9"/>
      <c r="AF896" s="7"/>
    </row>
    <row r="897" ht="15.75" customHeight="1">
      <c r="W897" s="6"/>
      <c r="X897" s="6"/>
      <c r="Y897" s="7"/>
      <c r="Z897" s="7"/>
      <c r="AA897" s="7"/>
      <c r="AB897" s="9"/>
      <c r="AD897" s="9"/>
      <c r="AF897" s="7"/>
    </row>
    <row r="898" ht="15.75" customHeight="1">
      <c r="W898" s="6"/>
      <c r="X898" s="6"/>
      <c r="Y898" s="7"/>
      <c r="Z898" s="7"/>
      <c r="AA898" s="7"/>
      <c r="AB898" s="9"/>
      <c r="AD898" s="9"/>
      <c r="AF898" s="7"/>
    </row>
    <row r="899" ht="15.75" customHeight="1">
      <c r="W899" s="6"/>
      <c r="X899" s="6"/>
      <c r="Y899" s="7"/>
      <c r="Z899" s="7"/>
      <c r="AA899" s="7"/>
      <c r="AB899" s="9"/>
      <c r="AD899" s="9"/>
      <c r="AF899" s="7"/>
    </row>
    <row r="900" ht="15.75" customHeight="1">
      <c r="W900" s="6"/>
      <c r="X900" s="6"/>
      <c r="Y900" s="7"/>
      <c r="Z900" s="7"/>
      <c r="AA900" s="7"/>
      <c r="AB900" s="9"/>
      <c r="AD900" s="9"/>
      <c r="AF900" s="7"/>
    </row>
    <row r="901" ht="15.75" customHeight="1">
      <c r="W901" s="6"/>
      <c r="X901" s="6"/>
      <c r="Y901" s="7"/>
      <c r="Z901" s="7"/>
      <c r="AA901" s="7"/>
      <c r="AB901" s="9"/>
      <c r="AD901" s="9"/>
      <c r="AF901" s="7"/>
    </row>
    <row r="902" ht="15.75" customHeight="1">
      <c r="W902" s="6"/>
      <c r="X902" s="6"/>
      <c r="Y902" s="7"/>
      <c r="Z902" s="7"/>
      <c r="AA902" s="7"/>
      <c r="AB902" s="9"/>
      <c r="AD902" s="9"/>
      <c r="AF902" s="7"/>
    </row>
    <row r="903" ht="15.75" customHeight="1">
      <c r="W903" s="6"/>
      <c r="X903" s="6"/>
      <c r="Y903" s="7"/>
      <c r="Z903" s="7"/>
      <c r="AA903" s="7"/>
      <c r="AB903" s="9"/>
      <c r="AD903" s="9"/>
      <c r="AF903" s="7"/>
    </row>
    <row r="904" ht="15.75" customHeight="1">
      <c r="W904" s="6"/>
      <c r="X904" s="6"/>
      <c r="Y904" s="7"/>
      <c r="Z904" s="7"/>
      <c r="AA904" s="7"/>
      <c r="AB904" s="9"/>
      <c r="AD904" s="9"/>
      <c r="AF904" s="7"/>
    </row>
    <row r="905" ht="15.75" customHeight="1">
      <c r="W905" s="6"/>
      <c r="X905" s="6"/>
      <c r="Y905" s="7"/>
      <c r="Z905" s="7"/>
      <c r="AA905" s="7"/>
      <c r="AB905" s="9"/>
      <c r="AD905" s="9"/>
      <c r="AF905" s="7"/>
    </row>
    <row r="906" ht="15.75" customHeight="1">
      <c r="W906" s="6"/>
      <c r="X906" s="6"/>
      <c r="Y906" s="7"/>
      <c r="Z906" s="7"/>
      <c r="AA906" s="7"/>
      <c r="AB906" s="9"/>
      <c r="AD906" s="9"/>
      <c r="AF906" s="7"/>
    </row>
    <row r="907" ht="15.75" customHeight="1">
      <c r="W907" s="6"/>
      <c r="X907" s="6"/>
      <c r="Y907" s="7"/>
      <c r="Z907" s="7"/>
      <c r="AA907" s="7"/>
      <c r="AB907" s="9"/>
      <c r="AD907" s="9"/>
      <c r="AF907" s="7"/>
    </row>
    <row r="908" ht="15.75" customHeight="1">
      <c r="W908" s="6"/>
      <c r="X908" s="6"/>
      <c r="Y908" s="7"/>
      <c r="Z908" s="7"/>
      <c r="AA908" s="7"/>
      <c r="AB908" s="9"/>
      <c r="AD908" s="9"/>
      <c r="AF908" s="7"/>
    </row>
    <row r="909" ht="15.75" customHeight="1">
      <c r="W909" s="6"/>
      <c r="X909" s="6"/>
      <c r="Y909" s="7"/>
      <c r="Z909" s="7"/>
      <c r="AA909" s="7"/>
      <c r="AB909" s="9"/>
      <c r="AD909" s="9"/>
      <c r="AF909" s="7"/>
    </row>
    <row r="910" ht="15.75" customHeight="1">
      <c r="W910" s="6"/>
      <c r="X910" s="6"/>
      <c r="Y910" s="7"/>
      <c r="Z910" s="7"/>
      <c r="AA910" s="7"/>
      <c r="AB910" s="9"/>
      <c r="AD910" s="9"/>
      <c r="AF910" s="7"/>
    </row>
    <row r="911" ht="15.75" customHeight="1">
      <c r="W911" s="6"/>
      <c r="X911" s="6"/>
      <c r="Y911" s="7"/>
      <c r="Z911" s="7"/>
      <c r="AA911" s="7"/>
      <c r="AB911" s="9"/>
      <c r="AD911" s="9"/>
      <c r="AF911" s="7"/>
    </row>
    <row r="912" ht="15.75" customHeight="1">
      <c r="W912" s="6"/>
      <c r="X912" s="6"/>
      <c r="Y912" s="7"/>
      <c r="Z912" s="7"/>
      <c r="AA912" s="7"/>
      <c r="AB912" s="9"/>
      <c r="AD912" s="9"/>
      <c r="AF912" s="7"/>
    </row>
    <row r="913" ht="15.75" customHeight="1">
      <c r="W913" s="6"/>
      <c r="X913" s="6"/>
      <c r="Y913" s="7"/>
      <c r="Z913" s="7"/>
      <c r="AA913" s="7"/>
      <c r="AB913" s="9"/>
      <c r="AD913" s="9"/>
      <c r="AF913" s="7"/>
    </row>
    <row r="914" ht="15.75" customHeight="1">
      <c r="W914" s="6"/>
      <c r="X914" s="6"/>
      <c r="Y914" s="7"/>
      <c r="Z914" s="7"/>
      <c r="AA914" s="7"/>
      <c r="AB914" s="9"/>
      <c r="AD914" s="9"/>
      <c r="AF914" s="7"/>
    </row>
    <row r="915" ht="15.75" customHeight="1">
      <c r="W915" s="6"/>
      <c r="X915" s="6"/>
      <c r="Y915" s="7"/>
      <c r="Z915" s="7"/>
      <c r="AA915" s="7"/>
      <c r="AB915" s="9"/>
      <c r="AD915" s="9"/>
      <c r="AF915" s="7"/>
    </row>
    <row r="916" ht="15.75" customHeight="1">
      <c r="W916" s="6"/>
      <c r="X916" s="6"/>
      <c r="Y916" s="7"/>
      <c r="Z916" s="7"/>
      <c r="AA916" s="7"/>
      <c r="AB916" s="9"/>
      <c r="AD916" s="9"/>
      <c r="AF916" s="7"/>
    </row>
    <row r="917" ht="15.75" customHeight="1">
      <c r="W917" s="6"/>
      <c r="X917" s="6"/>
      <c r="Y917" s="7"/>
      <c r="Z917" s="7"/>
      <c r="AA917" s="7"/>
      <c r="AB917" s="9"/>
      <c r="AD917" s="9"/>
      <c r="AF917" s="7"/>
    </row>
    <row r="918" ht="15.75" customHeight="1">
      <c r="W918" s="6"/>
      <c r="X918" s="6"/>
      <c r="Y918" s="7"/>
      <c r="Z918" s="7"/>
      <c r="AA918" s="7"/>
      <c r="AB918" s="9"/>
      <c r="AD918" s="9"/>
      <c r="AF918" s="7"/>
    </row>
    <row r="919" ht="15.75" customHeight="1">
      <c r="W919" s="6"/>
      <c r="X919" s="6"/>
      <c r="Y919" s="7"/>
      <c r="Z919" s="7"/>
      <c r="AA919" s="7"/>
      <c r="AB919" s="9"/>
      <c r="AD919" s="9"/>
      <c r="AF919" s="7"/>
    </row>
    <row r="920" ht="15.75" customHeight="1">
      <c r="W920" s="6"/>
      <c r="X920" s="6"/>
      <c r="Y920" s="7"/>
      <c r="Z920" s="7"/>
      <c r="AA920" s="7"/>
      <c r="AB920" s="9"/>
      <c r="AD920" s="9"/>
      <c r="AF920" s="7"/>
    </row>
    <row r="921" ht="15.75" customHeight="1">
      <c r="W921" s="6"/>
      <c r="X921" s="6"/>
      <c r="Y921" s="7"/>
      <c r="Z921" s="7"/>
      <c r="AA921" s="7"/>
      <c r="AB921" s="9"/>
      <c r="AD921" s="9"/>
      <c r="AF921" s="7"/>
    </row>
    <row r="922" ht="15.75" customHeight="1">
      <c r="W922" s="6"/>
      <c r="X922" s="6"/>
      <c r="Y922" s="7"/>
      <c r="Z922" s="7"/>
      <c r="AA922" s="7"/>
      <c r="AB922" s="9"/>
      <c r="AD922" s="9"/>
      <c r="AF922" s="7"/>
    </row>
    <row r="923" ht="15.75" customHeight="1">
      <c r="W923" s="6"/>
      <c r="X923" s="6"/>
      <c r="Y923" s="7"/>
      <c r="Z923" s="7"/>
      <c r="AA923" s="7"/>
      <c r="AB923" s="9"/>
      <c r="AD923" s="9"/>
      <c r="AF923" s="7"/>
    </row>
    <row r="924" ht="15.75" customHeight="1">
      <c r="W924" s="6"/>
      <c r="X924" s="6"/>
      <c r="Y924" s="7"/>
      <c r="Z924" s="7"/>
      <c r="AA924" s="7"/>
      <c r="AB924" s="9"/>
      <c r="AD924" s="9"/>
      <c r="AF924" s="7"/>
    </row>
    <row r="925" ht="15.75" customHeight="1">
      <c r="W925" s="6"/>
      <c r="X925" s="6"/>
      <c r="Y925" s="7"/>
      <c r="Z925" s="7"/>
      <c r="AA925" s="7"/>
      <c r="AB925" s="9"/>
      <c r="AD925" s="9"/>
      <c r="AF925" s="7"/>
    </row>
    <row r="926" ht="15.75" customHeight="1">
      <c r="W926" s="6"/>
      <c r="X926" s="6"/>
      <c r="Y926" s="7"/>
      <c r="Z926" s="7"/>
      <c r="AA926" s="7"/>
      <c r="AB926" s="9"/>
      <c r="AD926" s="9"/>
      <c r="AF926" s="7"/>
    </row>
    <row r="927" ht="15.75" customHeight="1">
      <c r="W927" s="6"/>
      <c r="X927" s="6"/>
      <c r="Y927" s="7"/>
      <c r="Z927" s="7"/>
      <c r="AA927" s="7"/>
      <c r="AB927" s="9"/>
      <c r="AD927" s="9"/>
      <c r="AF927" s="7"/>
    </row>
    <row r="928" ht="15.75" customHeight="1">
      <c r="W928" s="6"/>
      <c r="X928" s="6"/>
      <c r="Y928" s="7"/>
      <c r="Z928" s="7"/>
      <c r="AA928" s="7"/>
      <c r="AB928" s="9"/>
      <c r="AD928" s="9"/>
      <c r="AF928" s="7"/>
    </row>
    <row r="929" ht="15.75" customHeight="1">
      <c r="W929" s="6"/>
      <c r="X929" s="6"/>
      <c r="Y929" s="7"/>
      <c r="Z929" s="7"/>
      <c r="AA929" s="7"/>
      <c r="AB929" s="9"/>
      <c r="AD929" s="9"/>
      <c r="AF929" s="7"/>
    </row>
    <row r="930" ht="15.75" customHeight="1">
      <c r="W930" s="6"/>
      <c r="X930" s="6"/>
      <c r="Y930" s="7"/>
      <c r="Z930" s="7"/>
      <c r="AA930" s="7"/>
      <c r="AB930" s="9"/>
      <c r="AD930" s="9"/>
      <c r="AF930" s="7"/>
    </row>
    <row r="931" ht="15.75" customHeight="1">
      <c r="W931" s="6"/>
      <c r="X931" s="6"/>
      <c r="Y931" s="7"/>
      <c r="Z931" s="7"/>
      <c r="AA931" s="7"/>
      <c r="AB931" s="9"/>
      <c r="AD931" s="9"/>
      <c r="AF931" s="7"/>
    </row>
    <row r="932" ht="15.75" customHeight="1">
      <c r="W932" s="6"/>
      <c r="X932" s="6"/>
      <c r="Y932" s="7"/>
      <c r="Z932" s="7"/>
      <c r="AA932" s="7"/>
      <c r="AB932" s="9"/>
      <c r="AD932" s="9"/>
      <c r="AF932" s="7"/>
    </row>
    <row r="933" ht="15.75" customHeight="1">
      <c r="W933" s="6"/>
      <c r="X933" s="6"/>
      <c r="Y933" s="7"/>
      <c r="Z933" s="7"/>
      <c r="AA933" s="7"/>
      <c r="AB933" s="9"/>
      <c r="AD933" s="9"/>
      <c r="AF933" s="7"/>
    </row>
    <row r="934" ht="15.75" customHeight="1">
      <c r="W934" s="6"/>
      <c r="X934" s="6"/>
      <c r="Y934" s="7"/>
      <c r="Z934" s="7"/>
      <c r="AA934" s="7"/>
      <c r="AB934" s="9"/>
      <c r="AD934" s="9"/>
      <c r="AF934" s="7"/>
    </row>
    <row r="935" ht="15.75" customHeight="1">
      <c r="W935" s="6"/>
      <c r="X935" s="6"/>
      <c r="Y935" s="7"/>
      <c r="Z935" s="7"/>
      <c r="AA935" s="7"/>
      <c r="AB935" s="9"/>
      <c r="AD935" s="9"/>
      <c r="AF935" s="7"/>
    </row>
    <row r="936" ht="15.75" customHeight="1">
      <c r="W936" s="6"/>
      <c r="X936" s="6"/>
      <c r="Y936" s="7"/>
      <c r="Z936" s="7"/>
      <c r="AA936" s="7"/>
      <c r="AB936" s="9"/>
      <c r="AD936" s="9"/>
      <c r="AF936" s="7"/>
    </row>
    <row r="937" ht="15.75" customHeight="1">
      <c r="W937" s="6"/>
      <c r="X937" s="6"/>
      <c r="Y937" s="7"/>
      <c r="Z937" s="7"/>
      <c r="AA937" s="7"/>
      <c r="AB937" s="9"/>
      <c r="AD937" s="9"/>
      <c r="AF937" s="7"/>
    </row>
    <row r="938" ht="15.75" customHeight="1">
      <c r="W938" s="6"/>
      <c r="X938" s="6"/>
      <c r="Y938" s="7"/>
      <c r="Z938" s="7"/>
      <c r="AA938" s="7"/>
      <c r="AB938" s="9"/>
      <c r="AD938" s="9"/>
      <c r="AF938" s="7"/>
    </row>
    <row r="939" ht="15.75" customHeight="1">
      <c r="W939" s="6"/>
      <c r="X939" s="6"/>
      <c r="Y939" s="7"/>
      <c r="Z939" s="7"/>
      <c r="AA939" s="7"/>
      <c r="AB939" s="9"/>
      <c r="AD939" s="9"/>
      <c r="AF939" s="7"/>
    </row>
    <row r="940" ht="15.75" customHeight="1">
      <c r="W940" s="6"/>
      <c r="X940" s="6"/>
      <c r="Y940" s="7"/>
      <c r="Z940" s="7"/>
      <c r="AA940" s="7"/>
      <c r="AB940" s="9"/>
      <c r="AD940" s="9"/>
      <c r="AF940" s="7"/>
    </row>
    <row r="941" ht="15.75" customHeight="1">
      <c r="W941" s="6"/>
      <c r="X941" s="6"/>
      <c r="Y941" s="7"/>
      <c r="Z941" s="7"/>
      <c r="AA941" s="7"/>
      <c r="AB941" s="9"/>
      <c r="AD941" s="9"/>
      <c r="AF941" s="7"/>
    </row>
    <row r="942" ht="15.75" customHeight="1">
      <c r="W942" s="6"/>
      <c r="X942" s="6"/>
      <c r="Y942" s="7"/>
      <c r="Z942" s="7"/>
      <c r="AA942" s="7"/>
      <c r="AB942" s="9"/>
      <c r="AD942" s="9"/>
      <c r="AF942" s="7"/>
    </row>
    <row r="943" ht="15.75" customHeight="1">
      <c r="W943" s="6"/>
      <c r="X943" s="6"/>
      <c r="Y943" s="7"/>
      <c r="Z943" s="7"/>
      <c r="AA943" s="7"/>
      <c r="AB943" s="9"/>
      <c r="AD943" s="9"/>
      <c r="AF943" s="7"/>
    </row>
    <row r="944" ht="15.75" customHeight="1">
      <c r="W944" s="6"/>
      <c r="X944" s="6"/>
      <c r="Y944" s="7"/>
      <c r="Z944" s="7"/>
      <c r="AA944" s="7"/>
      <c r="AB944" s="9"/>
      <c r="AD944" s="9"/>
      <c r="AF944" s="7"/>
    </row>
    <row r="945" ht="15.75" customHeight="1">
      <c r="W945" s="6"/>
      <c r="X945" s="6"/>
      <c r="Y945" s="7"/>
      <c r="Z945" s="7"/>
      <c r="AA945" s="7"/>
      <c r="AB945" s="9"/>
      <c r="AD945" s="9"/>
      <c r="AF945" s="7"/>
    </row>
    <row r="946" ht="15.75" customHeight="1">
      <c r="W946" s="6"/>
      <c r="X946" s="6"/>
      <c r="Y946" s="7"/>
      <c r="Z946" s="7"/>
      <c r="AA946" s="7"/>
      <c r="AB946" s="9"/>
      <c r="AD946" s="9"/>
      <c r="AF946" s="7"/>
    </row>
    <row r="947" ht="15.75" customHeight="1">
      <c r="W947" s="6"/>
      <c r="X947" s="6"/>
      <c r="Y947" s="7"/>
      <c r="Z947" s="7"/>
      <c r="AA947" s="7"/>
      <c r="AB947" s="9"/>
      <c r="AD947" s="9"/>
      <c r="AF947" s="7"/>
    </row>
    <row r="948" ht="15.75" customHeight="1">
      <c r="W948" s="6"/>
      <c r="X948" s="6"/>
      <c r="Y948" s="7"/>
      <c r="Z948" s="7"/>
      <c r="AA948" s="7"/>
      <c r="AB948" s="9"/>
      <c r="AD948" s="9"/>
      <c r="AF948" s="7"/>
    </row>
    <row r="949" ht="15.75" customHeight="1">
      <c r="W949" s="6"/>
      <c r="X949" s="6"/>
      <c r="Y949" s="7"/>
      <c r="Z949" s="7"/>
      <c r="AA949" s="7"/>
      <c r="AB949" s="9"/>
      <c r="AD949" s="9"/>
      <c r="AF949" s="7"/>
    </row>
    <row r="950" ht="15.75" customHeight="1">
      <c r="W950" s="6"/>
      <c r="X950" s="6"/>
      <c r="Y950" s="7"/>
      <c r="Z950" s="7"/>
      <c r="AA950" s="7"/>
      <c r="AB950" s="9"/>
      <c r="AD950" s="9"/>
      <c r="AF950" s="7"/>
    </row>
    <row r="951" ht="15.75" customHeight="1">
      <c r="W951" s="6"/>
      <c r="X951" s="6"/>
      <c r="Y951" s="7"/>
      <c r="Z951" s="7"/>
      <c r="AA951" s="7"/>
      <c r="AB951" s="9"/>
      <c r="AD951" s="9"/>
      <c r="AF951" s="7"/>
    </row>
    <row r="952" ht="15.75" customHeight="1">
      <c r="W952" s="6"/>
      <c r="X952" s="6"/>
      <c r="Y952" s="7"/>
      <c r="Z952" s="7"/>
      <c r="AA952" s="7"/>
      <c r="AB952" s="9"/>
      <c r="AD952" s="9"/>
      <c r="AF952" s="7"/>
    </row>
    <row r="953" ht="15.75" customHeight="1">
      <c r="W953" s="6"/>
      <c r="X953" s="6"/>
      <c r="Y953" s="7"/>
      <c r="Z953" s="7"/>
      <c r="AA953" s="7"/>
      <c r="AB953" s="9"/>
      <c r="AD953" s="9"/>
      <c r="AF953" s="7"/>
    </row>
    <row r="954" ht="15.75" customHeight="1">
      <c r="W954" s="6"/>
      <c r="X954" s="6"/>
      <c r="Y954" s="7"/>
      <c r="Z954" s="7"/>
      <c r="AA954" s="7"/>
      <c r="AB954" s="9"/>
      <c r="AD954" s="9"/>
      <c r="AF954" s="7"/>
    </row>
    <row r="955" ht="15.75" customHeight="1">
      <c r="W955" s="6"/>
      <c r="X955" s="6"/>
      <c r="Y955" s="7"/>
      <c r="Z955" s="7"/>
      <c r="AA955" s="7"/>
      <c r="AB955" s="9"/>
      <c r="AD955" s="9"/>
      <c r="AF955" s="7"/>
    </row>
    <row r="956" ht="15.75" customHeight="1">
      <c r="W956" s="6"/>
      <c r="X956" s="6"/>
      <c r="Y956" s="7"/>
      <c r="Z956" s="7"/>
      <c r="AA956" s="7"/>
      <c r="AB956" s="9"/>
      <c r="AD956" s="9"/>
      <c r="AF956" s="7"/>
    </row>
    <row r="957" ht="15.75" customHeight="1">
      <c r="W957" s="6"/>
      <c r="X957" s="6"/>
      <c r="Y957" s="7"/>
      <c r="Z957" s="7"/>
      <c r="AA957" s="7"/>
      <c r="AB957" s="9"/>
      <c r="AD957" s="9"/>
      <c r="AF957" s="7"/>
    </row>
    <row r="958" ht="15.75" customHeight="1">
      <c r="W958" s="6"/>
      <c r="X958" s="6"/>
      <c r="Y958" s="7"/>
      <c r="Z958" s="7"/>
      <c r="AA958" s="7"/>
      <c r="AB958" s="9"/>
      <c r="AD958" s="9"/>
      <c r="AF958" s="7"/>
    </row>
    <row r="959" ht="15.75" customHeight="1">
      <c r="W959" s="6"/>
      <c r="X959" s="6"/>
      <c r="Y959" s="7"/>
      <c r="Z959" s="7"/>
      <c r="AA959" s="7"/>
      <c r="AB959" s="9"/>
      <c r="AD959" s="9"/>
      <c r="AF959" s="7"/>
    </row>
    <row r="960" ht="15.75" customHeight="1">
      <c r="W960" s="6"/>
      <c r="X960" s="6"/>
      <c r="Y960" s="7"/>
      <c r="Z960" s="7"/>
      <c r="AA960" s="7"/>
      <c r="AB960" s="9"/>
      <c r="AD960" s="9"/>
      <c r="AF960" s="7"/>
    </row>
    <row r="961" ht="15.75" customHeight="1">
      <c r="W961" s="6"/>
      <c r="X961" s="6"/>
      <c r="Y961" s="7"/>
      <c r="Z961" s="7"/>
      <c r="AA961" s="7"/>
      <c r="AB961" s="9"/>
      <c r="AD961" s="9"/>
      <c r="AF961" s="7"/>
    </row>
    <row r="962" ht="15.75" customHeight="1">
      <c r="W962" s="6"/>
      <c r="X962" s="6"/>
      <c r="Y962" s="7"/>
      <c r="Z962" s="7"/>
      <c r="AA962" s="7"/>
      <c r="AB962" s="9"/>
      <c r="AD962" s="9"/>
      <c r="AF962" s="7"/>
    </row>
    <row r="963" ht="15.75" customHeight="1">
      <c r="W963" s="6"/>
      <c r="X963" s="6"/>
      <c r="Y963" s="7"/>
      <c r="Z963" s="7"/>
      <c r="AA963" s="7"/>
      <c r="AB963" s="9"/>
      <c r="AD963" s="9"/>
      <c r="AF963" s="7"/>
    </row>
    <row r="964" ht="15.75" customHeight="1">
      <c r="W964" s="6"/>
      <c r="X964" s="6"/>
      <c r="Y964" s="7"/>
      <c r="Z964" s="7"/>
      <c r="AA964" s="7"/>
      <c r="AB964" s="9"/>
      <c r="AD964" s="9"/>
      <c r="AF964" s="7"/>
    </row>
    <row r="965" ht="15.75" customHeight="1">
      <c r="W965" s="6"/>
      <c r="X965" s="6"/>
      <c r="Y965" s="7"/>
      <c r="Z965" s="7"/>
      <c r="AA965" s="7"/>
      <c r="AB965" s="9"/>
      <c r="AD965" s="9"/>
      <c r="AF965" s="7"/>
    </row>
    <row r="966" ht="15.75" customHeight="1">
      <c r="W966" s="6"/>
      <c r="X966" s="6"/>
      <c r="Y966" s="7"/>
      <c r="Z966" s="7"/>
      <c r="AA966" s="7"/>
      <c r="AB966" s="9"/>
      <c r="AD966" s="9"/>
      <c r="AF966" s="7"/>
    </row>
    <row r="967" ht="15.75" customHeight="1">
      <c r="W967" s="6"/>
      <c r="X967" s="6"/>
      <c r="Y967" s="7"/>
      <c r="Z967" s="7"/>
      <c r="AA967" s="7"/>
      <c r="AB967" s="9"/>
      <c r="AD967" s="9"/>
      <c r="AF967" s="7"/>
    </row>
    <row r="968" ht="15.75" customHeight="1">
      <c r="W968" s="6"/>
      <c r="X968" s="6"/>
      <c r="Y968" s="7"/>
      <c r="Z968" s="7"/>
      <c r="AA968" s="7"/>
      <c r="AB968" s="9"/>
      <c r="AD968" s="9"/>
      <c r="AF968" s="7"/>
    </row>
    <row r="969" ht="15.75" customHeight="1">
      <c r="W969" s="6"/>
      <c r="X969" s="6"/>
      <c r="Y969" s="7"/>
      <c r="Z969" s="7"/>
      <c r="AA969" s="7"/>
      <c r="AB969" s="9"/>
      <c r="AD969" s="9"/>
      <c r="AF969" s="7"/>
    </row>
    <row r="970" ht="15.75" customHeight="1">
      <c r="W970" s="6"/>
      <c r="X970" s="6"/>
      <c r="Y970" s="7"/>
      <c r="Z970" s="7"/>
      <c r="AA970" s="7"/>
      <c r="AB970" s="9"/>
      <c r="AD970" s="9"/>
      <c r="AF970" s="7"/>
    </row>
    <row r="971" ht="15.75" customHeight="1">
      <c r="W971" s="6"/>
      <c r="X971" s="6"/>
      <c r="Y971" s="7"/>
      <c r="Z971" s="7"/>
      <c r="AA971" s="7"/>
      <c r="AB971" s="9"/>
      <c r="AD971" s="9"/>
      <c r="AF971" s="7"/>
    </row>
    <row r="972" ht="15.75" customHeight="1">
      <c r="W972" s="6"/>
      <c r="X972" s="6"/>
      <c r="Y972" s="7"/>
      <c r="Z972" s="7"/>
      <c r="AA972" s="7"/>
      <c r="AB972" s="9"/>
      <c r="AD972" s="9"/>
      <c r="AF972" s="7"/>
    </row>
    <row r="973" ht="15.75" customHeight="1">
      <c r="W973" s="6"/>
      <c r="X973" s="6"/>
      <c r="Y973" s="7"/>
      <c r="Z973" s="7"/>
      <c r="AA973" s="7"/>
      <c r="AB973" s="9"/>
      <c r="AD973" s="9"/>
      <c r="AF973" s="7"/>
    </row>
    <row r="974" ht="15.75" customHeight="1">
      <c r="W974" s="6"/>
      <c r="X974" s="6"/>
      <c r="Y974" s="7"/>
      <c r="Z974" s="7"/>
      <c r="AA974" s="7"/>
      <c r="AB974" s="9"/>
      <c r="AD974" s="9"/>
      <c r="AF974" s="7"/>
    </row>
    <row r="975" ht="15.75" customHeight="1">
      <c r="W975" s="6"/>
      <c r="X975" s="6"/>
      <c r="Y975" s="7"/>
      <c r="Z975" s="7"/>
      <c r="AA975" s="7"/>
      <c r="AB975" s="9"/>
      <c r="AD975" s="9"/>
      <c r="AF975" s="7"/>
    </row>
    <row r="976" ht="15.75" customHeight="1">
      <c r="W976" s="6"/>
      <c r="X976" s="6"/>
      <c r="Y976" s="7"/>
      <c r="Z976" s="7"/>
      <c r="AA976" s="7"/>
      <c r="AB976" s="9"/>
      <c r="AD976" s="9"/>
      <c r="AF976" s="7"/>
    </row>
    <row r="977" ht="15.75" customHeight="1">
      <c r="W977" s="6"/>
      <c r="X977" s="6"/>
      <c r="Y977" s="7"/>
      <c r="Z977" s="7"/>
      <c r="AA977" s="7"/>
      <c r="AB977" s="9"/>
      <c r="AD977" s="9"/>
      <c r="AF977" s="7"/>
    </row>
    <row r="978" ht="15.75" customHeight="1">
      <c r="W978" s="6"/>
      <c r="X978" s="6"/>
      <c r="Y978" s="7"/>
      <c r="Z978" s="7"/>
      <c r="AA978" s="7"/>
      <c r="AB978" s="9"/>
      <c r="AD978" s="9"/>
      <c r="AF978" s="7"/>
    </row>
    <row r="979" ht="15.75" customHeight="1">
      <c r="W979" s="6"/>
      <c r="X979" s="6"/>
      <c r="Y979" s="7"/>
      <c r="Z979" s="7"/>
      <c r="AA979" s="7"/>
      <c r="AB979" s="9"/>
      <c r="AD979" s="9"/>
      <c r="AF979" s="7"/>
    </row>
    <row r="980" ht="15.75" customHeight="1">
      <c r="W980" s="6"/>
      <c r="X980" s="6"/>
      <c r="Y980" s="7"/>
      <c r="Z980" s="7"/>
      <c r="AA980" s="7"/>
      <c r="AB980" s="9"/>
      <c r="AD980" s="9"/>
      <c r="AF980" s="7"/>
    </row>
    <row r="981" ht="15.75" customHeight="1">
      <c r="W981" s="6"/>
      <c r="X981" s="6"/>
      <c r="Y981" s="7"/>
      <c r="Z981" s="7"/>
      <c r="AA981" s="7"/>
      <c r="AB981" s="9"/>
      <c r="AD981" s="9"/>
      <c r="AF981" s="7"/>
    </row>
    <row r="982" ht="15.75" customHeight="1">
      <c r="W982" s="6"/>
      <c r="X982" s="6"/>
      <c r="Y982" s="7"/>
      <c r="Z982" s="7"/>
      <c r="AA982" s="7"/>
      <c r="AB982" s="9"/>
      <c r="AD982" s="9"/>
      <c r="AF982" s="7"/>
    </row>
    <row r="983" ht="15.75" customHeight="1">
      <c r="W983" s="6"/>
      <c r="X983" s="6"/>
      <c r="Y983" s="7"/>
      <c r="Z983" s="7"/>
      <c r="AA983" s="7"/>
      <c r="AB983" s="9"/>
      <c r="AD983" s="9"/>
      <c r="AF983" s="7"/>
    </row>
    <row r="984" ht="15.75" customHeight="1">
      <c r="W984" s="6"/>
      <c r="X984" s="6"/>
      <c r="Y984" s="7"/>
      <c r="Z984" s="7"/>
      <c r="AA984" s="7"/>
      <c r="AB984" s="9"/>
      <c r="AD984" s="9"/>
      <c r="AF984" s="7"/>
    </row>
    <row r="985" ht="15.75" customHeight="1">
      <c r="W985" s="6"/>
      <c r="X985" s="6"/>
      <c r="Y985" s="7"/>
      <c r="Z985" s="7"/>
      <c r="AA985" s="7"/>
      <c r="AB985" s="9"/>
      <c r="AD985" s="9"/>
      <c r="AF985" s="7"/>
    </row>
    <row r="986" ht="15.75" customHeight="1">
      <c r="W986" s="6"/>
      <c r="X986" s="6"/>
      <c r="Y986" s="7"/>
      <c r="Z986" s="7"/>
      <c r="AA986" s="7"/>
      <c r="AB986" s="9"/>
      <c r="AD986" s="9"/>
      <c r="AF986" s="7"/>
    </row>
    <row r="987" ht="15.75" customHeight="1">
      <c r="W987" s="6"/>
      <c r="X987" s="6"/>
      <c r="Y987" s="7"/>
      <c r="Z987" s="7"/>
      <c r="AA987" s="7"/>
      <c r="AB987" s="9"/>
      <c r="AD987" s="9"/>
      <c r="AF987" s="7"/>
    </row>
    <row r="988" ht="15.75" customHeight="1">
      <c r="W988" s="6"/>
      <c r="X988" s="6"/>
      <c r="Y988" s="7"/>
      <c r="Z988" s="7"/>
      <c r="AA988" s="7"/>
      <c r="AB988" s="9"/>
      <c r="AD988" s="9"/>
      <c r="AF988" s="7"/>
    </row>
    <row r="989" ht="15.75" customHeight="1">
      <c r="W989" s="6"/>
      <c r="X989" s="6"/>
      <c r="Y989" s="7"/>
      <c r="Z989" s="7"/>
      <c r="AA989" s="7"/>
      <c r="AB989" s="9"/>
      <c r="AD989" s="9"/>
      <c r="AF989" s="7"/>
    </row>
    <row r="990" ht="15.75" customHeight="1">
      <c r="W990" s="6"/>
      <c r="X990" s="6"/>
      <c r="Y990" s="7"/>
      <c r="Z990" s="7"/>
      <c r="AA990" s="7"/>
      <c r="AB990" s="9"/>
      <c r="AD990" s="9"/>
      <c r="AF990" s="7"/>
    </row>
    <row r="991" ht="15.75" customHeight="1">
      <c r="W991" s="6"/>
      <c r="X991" s="6"/>
      <c r="Y991" s="7"/>
      <c r="Z991" s="7"/>
      <c r="AA991" s="7"/>
      <c r="AB991" s="9"/>
      <c r="AD991" s="9"/>
      <c r="AF991" s="7"/>
    </row>
    <row r="992" ht="15.75" customHeight="1">
      <c r="W992" s="6"/>
      <c r="X992" s="6"/>
      <c r="Y992" s="7"/>
      <c r="Z992" s="7"/>
      <c r="AA992" s="7"/>
      <c r="AB992" s="9"/>
      <c r="AD992" s="9"/>
      <c r="AF992" s="7"/>
    </row>
    <row r="993" ht="15.75" customHeight="1">
      <c r="W993" s="6"/>
      <c r="X993" s="6"/>
      <c r="Y993" s="7"/>
      <c r="Z993" s="7"/>
      <c r="AA993" s="7"/>
      <c r="AB993" s="9"/>
      <c r="AD993" s="9"/>
      <c r="AF993" s="7"/>
    </row>
    <row r="994" ht="15.75" customHeight="1">
      <c r="W994" s="6"/>
      <c r="X994" s="6"/>
      <c r="Y994" s="7"/>
      <c r="Z994" s="7"/>
      <c r="AA994" s="7"/>
      <c r="AB994" s="9"/>
      <c r="AD994" s="9"/>
      <c r="AF994" s="7"/>
    </row>
    <row r="995" ht="15.75" customHeight="1">
      <c r="W995" s="6"/>
      <c r="X995" s="6"/>
      <c r="Y995" s="7"/>
      <c r="Z995" s="7"/>
      <c r="AA995" s="7"/>
      <c r="AB995" s="9"/>
      <c r="AD995" s="9"/>
      <c r="AF995" s="7"/>
    </row>
    <row r="996" ht="15.75" customHeight="1">
      <c r="W996" s="6"/>
      <c r="X996" s="6"/>
      <c r="Y996" s="7"/>
      <c r="Z996" s="7"/>
      <c r="AA996" s="7"/>
      <c r="AB996" s="9"/>
      <c r="AD996" s="9"/>
      <c r="AF996" s="7"/>
    </row>
    <row r="997" ht="15.75" customHeight="1">
      <c r="W997" s="6"/>
      <c r="X997" s="6"/>
      <c r="Y997" s="7"/>
      <c r="Z997" s="7"/>
      <c r="AA997" s="7"/>
      <c r="AB997" s="9"/>
      <c r="AD997" s="9"/>
      <c r="AF997" s="7"/>
    </row>
    <row r="998" ht="15.75" customHeight="1">
      <c r="W998" s="6"/>
      <c r="X998" s="6"/>
      <c r="Y998" s="7"/>
      <c r="Z998" s="7"/>
      <c r="AA998" s="7"/>
      <c r="AB998" s="9"/>
      <c r="AD998" s="9"/>
      <c r="AF998" s="7"/>
    </row>
    <row r="999" ht="15.75" customHeight="1">
      <c r="W999" s="6"/>
      <c r="X999" s="6"/>
      <c r="Y999" s="7"/>
      <c r="Z999" s="7"/>
      <c r="AA999" s="7"/>
      <c r="AB999" s="9"/>
      <c r="AD999" s="9"/>
      <c r="AF999" s="7"/>
    </row>
    <row r="1000" ht="15.75" customHeight="1">
      <c r="W1000" s="6"/>
      <c r="X1000" s="6"/>
      <c r="Y1000" s="7"/>
      <c r="Z1000" s="7"/>
      <c r="AA1000" s="7"/>
      <c r="AB1000" s="9"/>
      <c r="AD1000" s="9"/>
      <c r="AF1000" s="7"/>
    </row>
  </sheetData>
  <autoFilter ref="$A$1:$AG$100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7.0"/>
    <col customWidth="1" min="3" max="3" width="18.57"/>
  </cols>
  <sheetData>
    <row r="1">
      <c r="A1" s="10" t="s">
        <v>159</v>
      </c>
      <c r="B1" s="11" t="s">
        <v>160</v>
      </c>
      <c r="C1" s="10" t="s">
        <v>161</v>
      </c>
      <c r="D1" s="10" t="s">
        <v>162</v>
      </c>
      <c r="E1" s="10" t="s">
        <v>163</v>
      </c>
      <c r="F1" s="10" t="s">
        <v>164</v>
      </c>
      <c r="G1" s="12" t="s">
        <v>165</v>
      </c>
      <c r="H1" s="13" t="s">
        <v>166</v>
      </c>
      <c r="I1" s="10" t="s">
        <v>167</v>
      </c>
      <c r="J1" s="12" t="s">
        <v>168</v>
      </c>
      <c r="K1" s="14" t="s">
        <v>169</v>
      </c>
      <c r="L1" s="10" t="s">
        <v>170</v>
      </c>
      <c r="M1" s="10" t="s">
        <v>171</v>
      </c>
      <c r="N1" s="10" t="s">
        <v>172</v>
      </c>
      <c r="O1" s="10" t="s">
        <v>173</v>
      </c>
      <c r="P1" s="10" t="s">
        <v>174</v>
      </c>
      <c r="Q1" s="10" t="s">
        <v>175</v>
      </c>
      <c r="R1" s="15" t="s">
        <v>176</v>
      </c>
      <c r="S1" s="16" t="s">
        <v>32</v>
      </c>
      <c r="T1" s="17" t="s">
        <v>177</v>
      </c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>
      <c r="A2" s="19" t="s">
        <v>178</v>
      </c>
      <c r="B2" s="20" t="s">
        <v>179</v>
      </c>
      <c r="C2" s="19" t="s">
        <v>43</v>
      </c>
      <c r="D2" s="21" t="s">
        <v>42</v>
      </c>
      <c r="E2" s="19" t="s">
        <v>180</v>
      </c>
      <c r="F2" s="19" t="s">
        <v>34</v>
      </c>
      <c r="G2" s="22">
        <f t="shared" ref="G2:G3" si="1">I2*O2*M2</f>
        <v>273000</v>
      </c>
      <c r="H2" s="23">
        <f t="shared" ref="H2:H12" si="2">G2/1000*S2</f>
        <v>4095</v>
      </c>
      <c r="I2" s="24">
        <v>1500.0</v>
      </c>
      <c r="J2" s="25"/>
      <c r="K2" s="26"/>
      <c r="L2" s="18"/>
      <c r="M2" s="27">
        <v>2.0</v>
      </c>
      <c r="N2" s="27">
        <v>7.0</v>
      </c>
      <c r="O2" s="27">
        <f t="shared" ref="O2:O12" si="3">N2*R2</f>
        <v>91</v>
      </c>
      <c r="P2" s="18"/>
      <c r="Q2" s="18"/>
      <c r="R2" s="24">
        <v>13.0</v>
      </c>
      <c r="S2" s="28">
        <v>15.0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>
      <c r="A3" s="19" t="s">
        <v>178</v>
      </c>
      <c r="B3" s="20" t="s">
        <v>179</v>
      </c>
      <c r="C3" s="19" t="s">
        <v>43</v>
      </c>
      <c r="D3" s="21" t="s">
        <v>42</v>
      </c>
      <c r="E3" s="19" t="s">
        <v>181</v>
      </c>
      <c r="F3" s="19" t="s">
        <v>34</v>
      </c>
      <c r="G3" s="22">
        <f t="shared" si="1"/>
        <v>196000</v>
      </c>
      <c r="H3" s="23">
        <f t="shared" si="2"/>
        <v>2940</v>
      </c>
      <c r="I3" s="24">
        <v>1000.0</v>
      </c>
      <c r="J3" s="18"/>
      <c r="K3" s="26"/>
      <c r="L3" s="18"/>
      <c r="M3" s="27">
        <v>2.0</v>
      </c>
      <c r="N3" s="27">
        <v>7.0</v>
      </c>
      <c r="O3" s="27">
        <f t="shared" si="3"/>
        <v>98</v>
      </c>
      <c r="P3" s="18"/>
      <c r="Q3" s="18"/>
      <c r="R3" s="24">
        <v>14.0</v>
      </c>
      <c r="S3" s="28">
        <v>15.0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</row>
    <row r="4">
      <c r="A4" s="19" t="s">
        <v>182</v>
      </c>
      <c r="B4" s="20" t="s">
        <v>179</v>
      </c>
      <c r="C4" s="29" t="s">
        <v>43</v>
      </c>
      <c r="D4" s="21" t="s">
        <v>42</v>
      </c>
      <c r="E4" s="29" t="s">
        <v>180</v>
      </c>
      <c r="F4" s="29" t="s">
        <v>34</v>
      </c>
      <c r="G4" s="30">
        <f>P4/Q4*I4*O4</f>
        <v>234000</v>
      </c>
      <c r="H4" s="23">
        <f t="shared" si="2"/>
        <v>1170</v>
      </c>
      <c r="I4" s="24">
        <v>1500.0</v>
      </c>
      <c r="J4" s="25"/>
      <c r="K4" s="26"/>
      <c r="L4" s="18"/>
      <c r="M4" s="18"/>
      <c r="N4" s="31">
        <v>1.0</v>
      </c>
      <c r="O4" s="31">
        <f t="shared" si="3"/>
        <v>13</v>
      </c>
      <c r="P4" s="31">
        <f>(120*60)*0.05</f>
        <v>360</v>
      </c>
      <c r="Q4" s="31">
        <v>30.0</v>
      </c>
      <c r="R4" s="24">
        <v>13.0</v>
      </c>
      <c r="S4" s="32">
        <v>5.0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</row>
    <row r="5">
      <c r="A5" s="19" t="s">
        <v>182</v>
      </c>
      <c r="B5" s="20" t="s">
        <v>179</v>
      </c>
      <c r="C5" s="29" t="s">
        <v>183</v>
      </c>
      <c r="D5" s="29" t="s">
        <v>183</v>
      </c>
      <c r="E5" s="29" t="s">
        <v>180</v>
      </c>
      <c r="F5" s="29" t="s">
        <v>34</v>
      </c>
      <c r="G5" s="30">
        <f>J5*K5*L5*N5</f>
        <v>6018</v>
      </c>
      <c r="H5" s="33">
        <f t="shared" si="2"/>
        <v>30.09</v>
      </c>
      <c r="I5" s="18"/>
      <c r="J5" s="34">
        <v>6018.0</v>
      </c>
      <c r="K5" s="35">
        <v>0.5</v>
      </c>
      <c r="L5" s="31">
        <v>2.0</v>
      </c>
      <c r="M5" s="18"/>
      <c r="N5" s="31">
        <v>1.0</v>
      </c>
      <c r="O5" s="31">
        <f t="shared" si="3"/>
        <v>13</v>
      </c>
      <c r="P5" s="18"/>
      <c r="Q5" s="18"/>
      <c r="R5" s="24">
        <v>13.0</v>
      </c>
      <c r="S5" s="32">
        <v>5.0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</row>
    <row r="6">
      <c r="A6" s="19" t="s">
        <v>182</v>
      </c>
      <c r="B6" s="20" t="s">
        <v>179</v>
      </c>
      <c r="C6" s="29" t="s">
        <v>43</v>
      </c>
      <c r="D6" s="21" t="s">
        <v>42</v>
      </c>
      <c r="E6" s="19" t="s">
        <v>181</v>
      </c>
      <c r="F6" s="19" t="s">
        <v>34</v>
      </c>
      <c r="G6" s="30">
        <f>P6/Q6*I6*O6</f>
        <v>168000</v>
      </c>
      <c r="H6" s="33">
        <f t="shared" si="2"/>
        <v>840</v>
      </c>
      <c r="I6" s="24">
        <v>1000.0</v>
      </c>
      <c r="J6" s="18"/>
      <c r="K6" s="25"/>
      <c r="L6" s="36"/>
      <c r="M6" s="18"/>
      <c r="N6" s="30">
        <v>1.0</v>
      </c>
      <c r="O6" s="31">
        <f t="shared" si="3"/>
        <v>14</v>
      </c>
      <c r="P6" s="31">
        <f>(120*60)*0.05</f>
        <v>360</v>
      </c>
      <c r="Q6" s="27">
        <v>30.0</v>
      </c>
      <c r="R6" s="24">
        <v>14.0</v>
      </c>
      <c r="S6" s="32">
        <v>5.0</v>
      </c>
      <c r="T6" s="18"/>
      <c r="U6" s="18"/>
      <c r="V6" s="18"/>
      <c r="W6" s="37"/>
      <c r="X6" s="18"/>
      <c r="Y6" s="18"/>
      <c r="Z6" s="18"/>
      <c r="AA6" s="18"/>
      <c r="AB6" s="18"/>
      <c r="AC6" s="18"/>
      <c r="AD6" s="18"/>
      <c r="AE6" s="18"/>
    </row>
    <row r="7">
      <c r="A7" s="19" t="s">
        <v>182</v>
      </c>
      <c r="B7" s="20" t="s">
        <v>179</v>
      </c>
      <c r="C7" s="29" t="s">
        <v>183</v>
      </c>
      <c r="D7" s="29" t="s">
        <v>183</v>
      </c>
      <c r="E7" s="29" t="s">
        <v>181</v>
      </c>
      <c r="F7" s="29" t="s">
        <v>34</v>
      </c>
      <c r="G7" s="30">
        <f>J7*K7*L7*N7</f>
        <v>3850</v>
      </c>
      <c r="H7" s="33">
        <f t="shared" si="2"/>
        <v>19.25</v>
      </c>
      <c r="I7" s="18"/>
      <c r="J7" s="34">
        <v>3850.0</v>
      </c>
      <c r="K7" s="35">
        <v>0.5</v>
      </c>
      <c r="L7" s="31">
        <v>2.0</v>
      </c>
      <c r="M7" s="18"/>
      <c r="N7" s="31">
        <v>1.0</v>
      </c>
      <c r="O7" s="31">
        <f t="shared" si="3"/>
        <v>14</v>
      </c>
      <c r="P7" s="18"/>
      <c r="Q7" s="18"/>
      <c r="R7" s="24">
        <v>14.0</v>
      </c>
      <c r="S7" s="32">
        <v>5.0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</row>
    <row r="8">
      <c r="A8" s="29" t="s">
        <v>184</v>
      </c>
      <c r="B8" s="20" t="s">
        <v>179</v>
      </c>
      <c r="C8" s="29" t="s">
        <v>185</v>
      </c>
      <c r="D8" s="29" t="s">
        <v>186</v>
      </c>
      <c r="E8" s="29" t="s">
        <v>187</v>
      </c>
      <c r="F8" s="29" t="s">
        <v>188</v>
      </c>
      <c r="G8" s="30">
        <f t="shared" ref="G8:G12" si="4">J8*K8*R8</f>
        <v>1320000</v>
      </c>
      <c r="H8" s="33">
        <f t="shared" si="2"/>
        <v>6600</v>
      </c>
      <c r="I8" s="18"/>
      <c r="J8" s="31">
        <v>55000.0</v>
      </c>
      <c r="K8" s="35">
        <v>0.08</v>
      </c>
      <c r="L8" s="18"/>
      <c r="M8" s="18"/>
      <c r="N8" s="31">
        <v>1.0</v>
      </c>
      <c r="O8" s="31">
        <f t="shared" si="3"/>
        <v>300</v>
      </c>
      <c r="P8" s="18"/>
      <c r="Q8" s="18"/>
      <c r="R8" s="31">
        <v>300.0</v>
      </c>
      <c r="S8" s="32">
        <v>5.0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>
      <c r="A9" s="29" t="s">
        <v>189</v>
      </c>
      <c r="B9" s="20" t="s">
        <v>179</v>
      </c>
      <c r="C9" s="29" t="s">
        <v>185</v>
      </c>
      <c r="D9" s="29" t="s">
        <v>190</v>
      </c>
      <c r="E9" s="29" t="s">
        <v>187</v>
      </c>
      <c r="F9" s="29" t="s">
        <v>188</v>
      </c>
      <c r="G9" s="30">
        <f t="shared" si="4"/>
        <v>45000</v>
      </c>
      <c r="H9" s="33">
        <f t="shared" si="2"/>
        <v>360</v>
      </c>
      <c r="I9" s="18"/>
      <c r="J9" s="31">
        <v>450000.0</v>
      </c>
      <c r="K9" s="35">
        <v>0.1</v>
      </c>
      <c r="L9" s="18"/>
      <c r="M9" s="18"/>
      <c r="N9" s="31">
        <v>1.0</v>
      </c>
      <c r="O9" s="31">
        <f t="shared" si="3"/>
        <v>1</v>
      </c>
      <c r="P9" s="18"/>
      <c r="Q9" s="18"/>
      <c r="R9" s="31">
        <v>1.0</v>
      </c>
      <c r="S9" s="38">
        <v>8.0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</row>
    <row r="10">
      <c r="A10" s="20" t="s">
        <v>191</v>
      </c>
      <c r="B10" s="20" t="s">
        <v>179</v>
      </c>
      <c r="C10" s="39" t="s">
        <v>192</v>
      </c>
      <c r="D10" s="39" t="s">
        <v>193</v>
      </c>
      <c r="E10" s="29" t="s">
        <v>187</v>
      </c>
      <c r="F10" s="29" t="s">
        <v>188</v>
      </c>
      <c r="G10" s="40">
        <f t="shared" si="4"/>
        <v>123120</v>
      </c>
      <c r="H10" s="41">
        <f t="shared" si="2"/>
        <v>2462.4</v>
      </c>
      <c r="J10" s="42">
        <v>8100.0</v>
      </c>
      <c r="K10" s="43">
        <v>0.38</v>
      </c>
      <c r="L10" s="39"/>
      <c r="M10" s="39"/>
      <c r="N10" s="44">
        <v>1.0</v>
      </c>
      <c r="O10" s="44">
        <f t="shared" si="3"/>
        <v>40</v>
      </c>
      <c r="P10" s="39"/>
      <c r="Q10" s="39"/>
      <c r="R10" s="44">
        <v>40.0</v>
      </c>
      <c r="S10" s="45">
        <v>20.0</v>
      </c>
      <c r="T10" s="39"/>
      <c r="U10" s="39"/>
      <c r="V10" s="39"/>
      <c r="W10" s="39"/>
      <c r="X10" s="39"/>
      <c r="Y10" s="39"/>
      <c r="Z10" s="39"/>
    </row>
    <row r="11">
      <c r="A11" s="20" t="s">
        <v>191</v>
      </c>
      <c r="B11" s="20" t="s">
        <v>179</v>
      </c>
      <c r="C11" s="39" t="s">
        <v>192</v>
      </c>
      <c r="D11" s="39" t="s">
        <v>194</v>
      </c>
      <c r="E11" s="29" t="s">
        <v>187</v>
      </c>
      <c r="F11" s="29" t="s">
        <v>188</v>
      </c>
      <c r="G11" s="40">
        <f t="shared" si="4"/>
        <v>78880</v>
      </c>
      <c r="H11" s="41">
        <f t="shared" si="2"/>
        <v>788.8</v>
      </c>
      <c r="J11" s="42">
        <v>2900.0</v>
      </c>
      <c r="K11" s="46">
        <v>0.68</v>
      </c>
      <c r="L11" s="39"/>
      <c r="M11" s="39"/>
      <c r="N11" s="44">
        <v>1.0</v>
      </c>
      <c r="O11" s="44">
        <f t="shared" si="3"/>
        <v>40</v>
      </c>
      <c r="P11" s="39"/>
      <c r="Q11" s="39"/>
      <c r="R11" s="44">
        <v>40.0</v>
      </c>
      <c r="S11" s="45">
        <v>10.0</v>
      </c>
      <c r="T11" s="39"/>
      <c r="U11" s="39"/>
      <c r="V11" s="39"/>
      <c r="W11" s="39"/>
      <c r="X11" s="39"/>
      <c r="Y11" s="39"/>
      <c r="Z11" s="39"/>
    </row>
    <row r="12">
      <c r="A12" s="20" t="s">
        <v>191</v>
      </c>
      <c r="B12" s="20" t="s">
        <v>179</v>
      </c>
      <c r="C12" s="39" t="s">
        <v>192</v>
      </c>
      <c r="D12" s="39" t="s">
        <v>195</v>
      </c>
      <c r="E12" s="29" t="s">
        <v>187</v>
      </c>
      <c r="F12" s="29" t="s">
        <v>188</v>
      </c>
      <c r="G12" s="40">
        <f t="shared" si="4"/>
        <v>33200</v>
      </c>
      <c r="H12" s="41">
        <f t="shared" si="2"/>
        <v>398.4</v>
      </c>
      <c r="J12" s="42">
        <v>16600.0</v>
      </c>
      <c r="K12" s="46">
        <v>0.05</v>
      </c>
      <c r="L12" s="39"/>
      <c r="M12" s="39"/>
      <c r="N12" s="44">
        <v>1.0</v>
      </c>
      <c r="O12" s="44">
        <f t="shared" si="3"/>
        <v>40</v>
      </c>
      <c r="P12" s="39"/>
      <c r="Q12" s="39"/>
      <c r="R12" s="44">
        <v>40.0</v>
      </c>
      <c r="S12" s="45">
        <v>12.0</v>
      </c>
      <c r="T12" s="39"/>
      <c r="U12" s="39"/>
      <c r="V12" s="39"/>
      <c r="W12" s="39"/>
      <c r="X12" s="39"/>
      <c r="Y12" s="39"/>
      <c r="Z12" s="39"/>
    </row>
  </sheetData>
  <autoFilter ref="$A$1:$AE$998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86"/>
    <col customWidth="1" min="2" max="2" width="27.0"/>
    <col customWidth="1" min="3" max="3" width="18.57"/>
  </cols>
  <sheetData>
    <row r="1">
      <c r="A1" s="10" t="s">
        <v>159</v>
      </c>
      <c r="B1" s="11" t="s">
        <v>160</v>
      </c>
      <c r="C1" s="10" t="s">
        <v>161</v>
      </c>
      <c r="D1" s="10" t="s">
        <v>162</v>
      </c>
      <c r="E1" s="10" t="s">
        <v>163</v>
      </c>
      <c r="F1" s="10" t="s">
        <v>164</v>
      </c>
      <c r="G1" s="12" t="s">
        <v>165</v>
      </c>
      <c r="H1" s="13" t="s">
        <v>166</v>
      </c>
      <c r="I1" s="10" t="s">
        <v>167</v>
      </c>
      <c r="J1" s="12" t="s">
        <v>168</v>
      </c>
      <c r="K1" s="14" t="s">
        <v>169</v>
      </c>
      <c r="L1" s="10" t="s">
        <v>170</v>
      </c>
      <c r="M1" s="10" t="s">
        <v>171</v>
      </c>
      <c r="N1" s="10" t="s">
        <v>172</v>
      </c>
      <c r="O1" s="10" t="s">
        <v>173</v>
      </c>
      <c r="P1" s="10" t="s">
        <v>174</v>
      </c>
      <c r="Q1" s="10" t="s">
        <v>175</v>
      </c>
      <c r="R1" s="15" t="s">
        <v>176</v>
      </c>
      <c r="S1" s="16" t="s">
        <v>32</v>
      </c>
      <c r="T1" s="17" t="s">
        <v>177</v>
      </c>
      <c r="U1" s="18" t="s">
        <v>196</v>
      </c>
      <c r="V1" s="18" t="s">
        <v>196</v>
      </c>
      <c r="W1" s="18" t="s">
        <v>196</v>
      </c>
      <c r="X1" s="18" t="s">
        <v>196</v>
      </c>
      <c r="Y1" s="18" t="s">
        <v>196</v>
      </c>
      <c r="Z1" s="18" t="s">
        <v>196</v>
      </c>
      <c r="AA1" s="18" t="s">
        <v>196</v>
      </c>
      <c r="AB1" s="18" t="s">
        <v>196</v>
      </c>
      <c r="AC1" s="18" t="s">
        <v>196</v>
      </c>
      <c r="AD1" s="18" t="s">
        <v>196</v>
      </c>
      <c r="AE1" s="18" t="s">
        <v>196</v>
      </c>
      <c r="AF1" s="18" t="s">
        <v>196</v>
      </c>
      <c r="AG1" s="18" t="s">
        <v>196</v>
      </c>
      <c r="AH1" s="18" t="s">
        <v>196</v>
      </c>
      <c r="AI1" s="18" t="s">
        <v>196</v>
      </c>
    </row>
    <row r="2">
      <c r="A2" s="19" t="s">
        <v>178</v>
      </c>
      <c r="B2" s="20" t="s">
        <v>179</v>
      </c>
      <c r="C2" s="19" t="s">
        <v>43</v>
      </c>
      <c r="D2" s="21" t="s">
        <v>42</v>
      </c>
      <c r="E2" s="19" t="s">
        <v>180</v>
      </c>
      <c r="F2" s="19" t="s">
        <v>34</v>
      </c>
      <c r="G2" s="22">
        <f t="shared" ref="G2:G3" si="1">I2*O2*M2</f>
        <v>273000</v>
      </c>
      <c r="H2" s="23">
        <f t="shared" ref="H2:H12" si="2">G2/1000*S2</f>
        <v>4095</v>
      </c>
      <c r="I2" s="24">
        <v>1500.0</v>
      </c>
      <c r="J2" s="25"/>
      <c r="K2" s="26"/>
      <c r="L2" s="18"/>
      <c r="M2" s="27">
        <v>2.0</v>
      </c>
      <c r="N2" s="27">
        <v>7.0</v>
      </c>
      <c r="O2" s="27">
        <f t="shared" ref="O2:O12" si="3">N2*R2</f>
        <v>91</v>
      </c>
      <c r="P2" s="18"/>
      <c r="Q2" s="18"/>
      <c r="R2" s="24">
        <v>13.0</v>
      </c>
      <c r="S2" s="28">
        <v>15.0</v>
      </c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>
      <c r="A3" s="19" t="s">
        <v>178</v>
      </c>
      <c r="B3" s="20" t="s">
        <v>179</v>
      </c>
      <c r="C3" s="19" t="s">
        <v>43</v>
      </c>
      <c r="D3" s="21" t="s">
        <v>42</v>
      </c>
      <c r="E3" s="19" t="s">
        <v>181</v>
      </c>
      <c r="F3" s="19" t="s">
        <v>34</v>
      </c>
      <c r="G3" s="22">
        <f t="shared" si="1"/>
        <v>196000</v>
      </c>
      <c r="H3" s="23">
        <f t="shared" si="2"/>
        <v>2940</v>
      </c>
      <c r="I3" s="24">
        <v>1000.0</v>
      </c>
      <c r="J3" s="18"/>
      <c r="K3" s="26"/>
      <c r="L3" s="18"/>
      <c r="M3" s="27">
        <v>2.0</v>
      </c>
      <c r="N3" s="27">
        <v>7.0</v>
      </c>
      <c r="O3" s="27">
        <f t="shared" si="3"/>
        <v>98</v>
      </c>
      <c r="P3" s="18"/>
      <c r="Q3" s="18"/>
      <c r="R3" s="24">
        <v>14.0</v>
      </c>
      <c r="S3" s="28">
        <v>15.0</v>
      </c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>
      <c r="A4" s="19" t="s">
        <v>182</v>
      </c>
      <c r="B4" s="20" t="s">
        <v>179</v>
      </c>
      <c r="C4" s="29" t="s">
        <v>43</v>
      </c>
      <c r="D4" s="21" t="s">
        <v>42</v>
      </c>
      <c r="E4" s="29" t="s">
        <v>180</v>
      </c>
      <c r="F4" s="29" t="s">
        <v>34</v>
      </c>
      <c r="G4" s="30">
        <f>P4/Q4*I4*O4</f>
        <v>234000</v>
      </c>
      <c r="H4" s="23">
        <f t="shared" si="2"/>
        <v>1170</v>
      </c>
      <c r="I4" s="24">
        <v>1500.0</v>
      </c>
      <c r="J4" s="25"/>
      <c r="K4" s="26"/>
      <c r="L4" s="18"/>
      <c r="M4" s="18"/>
      <c r="N4" s="31">
        <v>1.0</v>
      </c>
      <c r="O4" s="31">
        <f t="shared" si="3"/>
        <v>13</v>
      </c>
      <c r="P4" s="31">
        <f>(120*60)*0.05</f>
        <v>360</v>
      </c>
      <c r="Q4" s="31">
        <v>30.0</v>
      </c>
      <c r="R4" s="24">
        <v>13.0</v>
      </c>
      <c r="S4" s="32">
        <v>5.0</v>
      </c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>
      <c r="A5" s="19" t="s">
        <v>182</v>
      </c>
      <c r="B5" s="20" t="s">
        <v>179</v>
      </c>
      <c r="C5" s="29" t="s">
        <v>183</v>
      </c>
      <c r="D5" s="29" t="s">
        <v>183</v>
      </c>
      <c r="E5" s="29" t="s">
        <v>180</v>
      </c>
      <c r="F5" s="29" t="s">
        <v>34</v>
      </c>
      <c r="G5" s="30">
        <f>J5*K5*L5*N5</f>
        <v>6018</v>
      </c>
      <c r="H5" s="33">
        <f t="shared" si="2"/>
        <v>30.09</v>
      </c>
      <c r="I5" s="18"/>
      <c r="J5" s="34">
        <v>6018.0</v>
      </c>
      <c r="K5" s="35">
        <v>0.5</v>
      </c>
      <c r="L5" s="31">
        <v>2.0</v>
      </c>
      <c r="M5" s="18"/>
      <c r="N5" s="31">
        <v>1.0</v>
      </c>
      <c r="O5" s="31">
        <f t="shared" si="3"/>
        <v>13</v>
      </c>
      <c r="P5" s="18"/>
      <c r="Q5" s="18"/>
      <c r="R5" s="24">
        <v>13.0</v>
      </c>
      <c r="S5" s="32">
        <v>5.0</v>
      </c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>
      <c r="A6" s="19" t="s">
        <v>182</v>
      </c>
      <c r="B6" s="20" t="s">
        <v>179</v>
      </c>
      <c r="C6" s="29" t="s">
        <v>43</v>
      </c>
      <c r="D6" s="21" t="s">
        <v>42</v>
      </c>
      <c r="E6" s="19" t="s">
        <v>181</v>
      </c>
      <c r="F6" s="19" t="s">
        <v>34</v>
      </c>
      <c r="G6" s="30">
        <f>P6/Q6*I6*O6</f>
        <v>168000</v>
      </c>
      <c r="H6" s="33">
        <f t="shared" si="2"/>
        <v>840</v>
      </c>
      <c r="I6" s="24">
        <v>1000.0</v>
      </c>
      <c r="J6" s="18"/>
      <c r="K6" s="25"/>
      <c r="L6" s="36"/>
      <c r="M6" s="18"/>
      <c r="N6" s="30">
        <v>1.0</v>
      </c>
      <c r="O6" s="31">
        <f t="shared" si="3"/>
        <v>14</v>
      </c>
      <c r="P6" s="31">
        <f>(120*60)*0.05</f>
        <v>360</v>
      </c>
      <c r="Q6" s="27">
        <v>30.0</v>
      </c>
      <c r="R6" s="24">
        <v>14.0</v>
      </c>
      <c r="S6" s="32">
        <v>5.0</v>
      </c>
      <c r="T6" s="18"/>
      <c r="U6" s="18"/>
      <c r="V6" s="18"/>
      <c r="W6" s="37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>
      <c r="A7" s="19" t="s">
        <v>182</v>
      </c>
      <c r="B7" s="20" t="s">
        <v>179</v>
      </c>
      <c r="C7" s="29" t="s">
        <v>183</v>
      </c>
      <c r="D7" s="29" t="s">
        <v>183</v>
      </c>
      <c r="E7" s="29" t="s">
        <v>181</v>
      </c>
      <c r="F7" s="29" t="s">
        <v>34</v>
      </c>
      <c r="G7" s="30">
        <f>J7*K7*L7*N7</f>
        <v>3850</v>
      </c>
      <c r="H7" s="33">
        <f t="shared" si="2"/>
        <v>19.25</v>
      </c>
      <c r="I7" s="18"/>
      <c r="J7" s="34">
        <v>3850.0</v>
      </c>
      <c r="K7" s="35">
        <v>0.5</v>
      </c>
      <c r="L7" s="31">
        <v>2.0</v>
      </c>
      <c r="M7" s="18"/>
      <c r="N7" s="31">
        <v>1.0</v>
      </c>
      <c r="O7" s="31">
        <f t="shared" si="3"/>
        <v>14</v>
      </c>
      <c r="P7" s="18"/>
      <c r="Q7" s="18"/>
      <c r="R7" s="24">
        <v>14.0</v>
      </c>
      <c r="S7" s="32">
        <v>5.0</v>
      </c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>
      <c r="A8" s="29" t="s">
        <v>184</v>
      </c>
      <c r="B8" s="20" t="s">
        <v>179</v>
      </c>
      <c r="C8" s="29" t="s">
        <v>185</v>
      </c>
      <c r="D8" s="29" t="s">
        <v>186</v>
      </c>
      <c r="E8" s="29" t="s">
        <v>187</v>
      </c>
      <c r="F8" s="29" t="s">
        <v>188</v>
      </c>
      <c r="G8" s="30">
        <f t="shared" ref="G8:G12" si="4">J8*K8*R8</f>
        <v>1320000</v>
      </c>
      <c r="H8" s="33">
        <f t="shared" si="2"/>
        <v>6600</v>
      </c>
      <c r="I8" s="18"/>
      <c r="J8" s="31">
        <v>55000.0</v>
      </c>
      <c r="K8" s="35">
        <v>0.08</v>
      </c>
      <c r="L8" s="18"/>
      <c r="M8" s="18"/>
      <c r="N8" s="31">
        <v>1.0</v>
      </c>
      <c r="O8" s="31">
        <f t="shared" si="3"/>
        <v>300</v>
      </c>
      <c r="P8" s="18"/>
      <c r="Q8" s="18"/>
      <c r="R8" s="31">
        <v>300.0</v>
      </c>
      <c r="S8" s="32">
        <v>5.0</v>
      </c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>
      <c r="A9" s="29" t="s">
        <v>189</v>
      </c>
      <c r="B9" s="20" t="s">
        <v>179</v>
      </c>
      <c r="C9" s="29" t="s">
        <v>185</v>
      </c>
      <c r="D9" s="29" t="s">
        <v>190</v>
      </c>
      <c r="E9" s="29" t="s">
        <v>187</v>
      </c>
      <c r="F9" s="29" t="s">
        <v>188</v>
      </c>
      <c r="G9" s="30">
        <f t="shared" si="4"/>
        <v>45000</v>
      </c>
      <c r="H9" s="33">
        <f t="shared" si="2"/>
        <v>360</v>
      </c>
      <c r="I9" s="18"/>
      <c r="J9" s="31">
        <v>450000.0</v>
      </c>
      <c r="K9" s="35">
        <v>0.1</v>
      </c>
      <c r="L9" s="18"/>
      <c r="M9" s="18"/>
      <c r="N9" s="31">
        <v>1.0</v>
      </c>
      <c r="O9" s="31">
        <f t="shared" si="3"/>
        <v>1</v>
      </c>
      <c r="P9" s="18"/>
      <c r="Q9" s="18"/>
      <c r="R9" s="31">
        <v>1.0</v>
      </c>
      <c r="S9" s="38">
        <v>8.0</v>
      </c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>
      <c r="A10" s="20" t="s">
        <v>191</v>
      </c>
      <c r="B10" s="20" t="s">
        <v>179</v>
      </c>
      <c r="C10" s="39" t="s">
        <v>192</v>
      </c>
      <c r="D10" s="39" t="s">
        <v>193</v>
      </c>
      <c r="E10" s="29" t="s">
        <v>187</v>
      </c>
      <c r="F10" s="29" t="s">
        <v>188</v>
      </c>
      <c r="G10" s="40">
        <f t="shared" si="4"/>
        <v>123120</v>
      </c>
      <c r="H10" s="41">
        <f t="shared" si="2"/>
        <v>2462.4</v>
      </c>
      <c r="J10" s="42">
        <v>8100.0</v>
      </c>
      <c r="K10" s="43">
        <v>0.38</v>
      </c>
      <c r="L10" s="39"/>
      <c r="M10" s="39"/>
      <c r="N10" s="44">
        <v>1.0</v>
      </c>
      <c r="O10" s="44">
        <f t="shared" si="3"/>
        <v>40</v>
      </c>
      <c r="P10" s="39"/>
      <c r="Q10" s="39"/>
      <c r="R10" s="44">
        <v>40.0</v>
      </c>
      <c r="S10" s="45">
        <v>20.0</v>
      </c>
      <c r="T10" s="39"/>
      <c r="U10" s="39"/>
      <c r="V10" s="39"/>
      <c r="W10" s="39"/>
      <c r="X10" s="39"/>
      <c r="Y10" s="39"/>
      <c r="Z10" s="39"/>
    </row>
    <row r="11">
      <c r="A11" s="20" t="s">
        <v>191</v>
      </c>
      <c r="B11" s="20" t="s">
        <v>179</v>
      </c>
      <c r="C11" s="39" t="s">
        <v>192</v>
      </c>
      <c r="D11" s="39" t="s">
        <v>194</v>
      </c>
      <c r="E11" s="29" t="s">
        <v>187</v>
      </c>
      <c r="F11" s="29" t="s">
        <v>188</v>
      </c>
      <c r="G11" s="40">
        <f t="shared" si="4"/>
        <v>78880</v>
      </c>
      <c r="H11" s="41">
        <f t="shared" si="2"/>
        <v>788.8</v>
      </c>
      <c r="J11" s="42">
        <v>2900.0</v>
      </c>
      <c r="K11" s="46">
        <v>0.68</v>
      </c>
      <c r="L11" s="39"/>
      <c r="M11" s="39"/>
      <c r="N11" s="44">
        <v>1.0</v>
      </c>
      <c r="O11" s="44">
        <f t="shared" si="3"/>
        <v>40</v>
      </c>
      <c r="P11" s="39"/>
      <c r="Q11" s="39"/>
      <c r="R11" s="44">
        <v>40.0</v>
      </c>
      <c r="S11" s="45">
        <v>10.0</v>
      </c>
      <c r="T11" s="39"/>
      <c r="U11" s="39"/>
      <c r="V11" s="39"/>
      <c r="W11" s="39"/>
      <c r="X11" s="39"/>
      <c r="Y11" s="39"/>
      <c r="Z11" s="39"/>
    </row>
    <row r="12">
      <c r="A12" s="20" t="s">
        <v>191</v>
      </c>
      <c r="B12" s="20" t="s">
        <v>179</v>
      </c>
      <c r="C12" s="39" t="s">
        <v>192</v>
      </c>
      <c r="D12" s="39" t="s">
        <v>195</v>
      </c>
      <c r="E12" s="29" t="s">
        <v>187</v>
      </c>
      <c r="F12" s="29" t="s">
        <v>188</v>
      </c>
      <c r="G12" s="40">
        <f t="shared" si="4"/>
        <v>33200</v>
      </c>
      <c r="H12" s="41">
        <f t="shared" si="2"/>
        <v>398.4</v>
      </c>
      <c r="J12" s="42">
        <v>16600.0</v>
      </c>
      <c r="K12" s="46">
        <v>0.05</v>
      </c>
      <c r="L12" s="39"/>
      <c r="M12" s="39"/>
      <c r="N12" s="44">
        <v>1.0</v>
      </c>
      <c r="O12" s="44">
        <f t="shared" si="3"/>
        <v>40</v>
      </c>
      <c r="P12" s="39"/>
      <c r="Q12" s="39"/>
      <c r="R12" s="44">
        <v>40.0</v>
      </c>
      <c r="S12" s="45">
        <v>12.0</v>
      </c>
      <c r="T12" s="39"/>
      <c r="U12" s="39"/>
      <c r="V12" s="39"/>
      <c r="W12" s="39"/>
      <c r="X12" s="39"/>
      <c r="Y12" s="39"/>
      <c r="Z12" s="39"/>
    </row>
    <row r="13">
      <c r="A13" s="39" t="s">
        <v>197</v>
      </c>
      <c r="B13" s="39" t="s">
        <v>197</v>
      </c>
      <c r="C13" s="39" t="s">
        <v>43</v>
      </c>
      <c r="D13" s="39" t="s">
        <v>42</v>
      </c>
      <c r="E13" s="39" t="s">
        <v>180</v>
      </c>
      <c r="F13" s="39" t="s">
        <v>34</v>
      </c>
      <c r="G13" s="40">
        <v>339167.0</v>
      </c>
      <c r="H13" s="41">
        <v>4601.0</v>
      </c>
      <c r="I13" s="39"/>
      <c r="J13" s="39"/>
      <c r="K13" s="39"/>
      <c r="L13" s="39"/>
      <c r="M13" s="39"/>
      <c r="N13" s="39"/>
      <c r="O13" s="39"/>
      <c r="P13" s="39"/>
      <c r="Q13" s="39"/>
      <c r="R13" s="42">
        <v>28.0</v>
      </c>
      <c r="S13" s="45">
        <v>18.0</v>
      </c>
      <c r="T13" s="39"/>
      <c r="U13" s="39"/>
      <c r="V13" s="39"/>
      <c r="W13" s="39"/>
      <c r="X13" s="39"/>
      <c r="Y13" s="39"/>
      <c r="Z13" s="39"/>
      <c r="AA13" s="39"/>
    </row>
    <row r="14">
      <c r="A14" s="39" t="s">
        <v>197</v>
      </c>
      <c r="B14" s="39" t="s">
        <v>197</v>
      </c>
      <c r="C14" s="39" t="s">
        <v>198</v>
      </c>
      <c r="D14" s="47" t="s">
        <v>51</v>
      </c>
      <c r="E14" s="39" t="s">
        <v>180</v>
      </c>
      <c r="F14" s="39" t="s">
        <v>34</v>
      </c>
      <c r="G14" s="40">
        <v>907500.0</v>
      </c>
      <c r="H14" s="41">
        <v>23655.0</v>
      </c>
      <c r="I14" s="39"/>
      <c r="J14" s="39"/>
      <c r="K14" s="39"/>
      <c r="L14" s="39"/>
      <c r="M14" s="39"/>
      <c r="N14" s="39"/>
      <c r="O14" s="39"/>
      <c r="P14" s="39"/>
      <c r="Q14" s="39"/>
      <c r="R14" s="42">
        <v>2.0</v>
      </c>
      <c r="S14" s="45">
        <v>20.0</v>
      </c>
      <c r="T14" s="39"/>
      <c r="U14" s="39"/>
      <c r="V14" s="39"/>
      <c r="W14" s="39"/>
      <c r="X14" s="39"/>
      <c r="Y14" s="39"/>
      <c r="Z14" s="39"/>
      <c r="AA14" s="39"/>
    </row>
    <row r="15">
      <c r="A15" s="39" t="s">
        <v>197</v>
      </c>
      <c r="B15" s="39" t="s">
        <v>197</v>
      </c>
      <c r="C15" s="39" t="s">
        <v>43</v>
      </c>
      <c r="D15" s="47" t="s">
        <v>97</v>
      </c>
      <c r="E15" s="39" t="s">
        <v>199</v>
      </c>
      <c r="F15" s="39" t="s">
        <v>34</v>
      </c>
      <c r="G15" s="40">
        <v>209250.00000000003</v>
      </c>
      <c r="H15" s="41">
        <v>3532.5000000000005</v>
      </c>
      <c r="I15" s="39"/>
      <c r="J15" s="39"/>
      <c r="K15" s="39"/>
      <c r="L15" s="39"/>
      <c r="M15" s="39"/>
      <c r="N15" s="39"/>
      <c r="O15" s="39"/>
      <c r="P15" s="39"/>
      <c r="Q15" s="39"/>
      <c r="R15" s="48">
        <v>1.0</v>
      </c>
      <c r="S15" s="45">
        <v>18.0</v>
      </c>
      <c r="T15" s="39"/>
      <c r="U15" s="39"/>
      <c r="V15" s="39"/>
      <c r="W15" s="39"/>
      <c r="X15" s="39"/>
      <c r="Y15" s="39"/>
      <c r="Z15" s="39"/>
      <c r="AA15" s="39"/>
    </row>
    <row r="16">
      <c r="A16" s="39" t="s">
        <v>197</v>
      </c>
      <c r="B16" s="39" t="s">
        <v>197</v>
      </c>
      <c r="C16" s="39" t="s">
        <v>43</v>
      </c>
      <c r="D16" s="39" t="s">
        <v>42</v>
      </c>
      <c r="E16" s="39" t="s">
        <v>181</v>
      </c>
      <c r="F16" s="39" t="s">
        <v>34</v>
      </c>
      <c r="G16" s="40">
        <v>224265.0</v>
      </c>
      <c r="H16" s="41">
        <v>3083.6100000000006</v>
      </c>
      <c r="I16" s="39"/>
      <c r="J16" s="39"/>
      <c r="K16" s="39"/>
      <c r="L16" s="39"/>
      <c r="M16" s="39"/>
      <c r="N16" s="39"/>
      <c r="O16" s="39"/>
      <c r="P16" s="39"/>
      <c r="Q16" s="39"/>
      <c r="R16" s="42">
        <v>29.0</v>
      </c>
      <c r="S16" s="45">
        <v>18.0</v>
      </c>
      <c r="T16" s="39"/>
      <c r="U16" s="39"/>
      <c r="V16" s="39"/>
      <c r="W16" s="39"/>
      <c r="X16" s="39"/>
      <c r="Y16" s="39"/>
      <c r="Z16" s="39"/>
      <c r="AA16" s="39"/>
    </row>
    <row r="17">
      <c r="A17" s="39" t="s">
        <v>197</v>
      </c>
      <c r="B17" s="39" t="s">
        <v>197</v>
      </c>
      <c r="C17" s="39" t="s">
        <v>198</v>
      </c>
      <c r="D17" s="47" t="s">
        <v>133</v>
      </c>
      <c r="E17" s="39" t="s">
        <v>181</v>
      </c>
      <c r="F17" s="39" t="s">
        <v>34</v>
      </c>
      <c r="G17" s="40">
        <v>88050.0</v>
      </c>
      <c r="H17" s="41">
        <v>1609.5000000000002</v>
      </c>
      <c r="I17" s="39"/>
      <c r="J17" s="39"/>
      <c r="K17" s="39"/>
      <c r="L17" s="39"/>
      <c r="M17" s="39"/>
      <c r="N17" s="39"/>
      <c r="O17" s="39"/>
      <c r="P17" s="39"/>
      <c r="Q17" s="39"/>
      <c r="R17" s="42">
        <v>1.0</v>
      </c>
      <c r="S17" s="45">
        <v>18.0</v>
      </c>
      <c r="T17" s="39"/>
      <c r="U17" s="39"/>
      <c r="V17" s="39"/>
      <c r="W17" s="39"/>
      <c r="X17" s="39"/>
      <c r="Y17" s="39"/>
      <c r="Z17" s="39"/>
      <c r="AA17" s="39"/>
    </row>
    <row r="18">
      <c r="A18" s="39" t="s">
        <v>200</v>
      </c>
      <c r="B18" s="39" t="s">
        <v>201</v>
      </c>
      <c r="C18" s="39" t="s">
        <v>192</v>
      </c>
      <c r="D18" s="39" t="s">
        <v>194</v>
      </c>
      <c r="E18" s="39" t="s">
        <v>180</v>
      </c>
      <c r="F18" s="39" t="s">
        <v>34</v>
      </c>
      <c r="G18" s="40">
        <v>84746.25</v>
      </c>
      <c r="H18" s="41">
        <v>847.4625</v>
      </c>
      <c r="I18" s="39"/>
      <c r="J18" s="39"/>
      <c r="K18" s="39"/>
      <c r="L18" s="39"/>
      <c r="M18" s="39"/>
      <c r="N18" s="39"/>
      <c r="O18" s="39"/>
      <c r="P18" s="39"/>
      <c r="Q18" s="39"/>
      <c r="R18" s="47"/>
      <c r="S18" s="45">
        <v>10.0</v>
      </c>
      <c r="T18" s="39"/>
      <c r="U18" s="39"/>
      <c r="V18" s="39"/>
      <c r="W18" s="39"/>
      <c r="X18" s="39"/>
      <c r="Y18" s="39"/>
      <c r="Z18" s="39"/>
      <c r="AA18" s="39"/>
    </row>
    <row r="19">
      <c r="A19" s="39" t="s">
        <v>200</v>
      </c>
      <c r="B19" s="39" t="s">
        <v>201</v>
      </c>
      <c r="C19" s="39" t="s">
        <v>192</v>
      </c>
      <c r="D19" s="39" t="s">
        <v>193</v>
      </c>
      <c r="E19" s="39" t="s">
        <v>180</v>
      </c>
      <c r="F19" s="39" t="s">
        <v>34</v>
      </c>
      <c r="G19" s="40">
        <v>136710.0</v>
      </c>
      <c r="H19" s="41">
        <v>2734.2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45">
        <v>20.0</v>
      </c>
      <c r="T19" s="39"/>
      <c r="U19" s="39"/>
      <c r="V19" s="39"/>
      <c r="W19" s="39"/>
      <c r="X19" s="39"/>
      <c r="Y19" s="39"/>
      <c r="Z19" s="39"/>
      <c r="AA19" s="39"/>
    </row>
    <row r="20">
      <c r="A20" s="39" t="s">
        <v>200</v>
      </c>
      <c r="B20" s="39" t="s">
        <v>201</v>
      </c>
      <c r="C20" s="39" t="s">
        <v>192</v>
      </c>
      <c r="D20" s="39" t="s">
        <v>195</v>
      </c>
      <c r="E20" s="39" t="s">
        <v>180</v>
      </c>
      <c r="F20" s="39" t="s">
        <v>34</v>
      </c>
      <c r="G20" s="40">
        <v>78922.125</v>
      </c>
      <c r="H20" s="41">
        <v>947.0655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45">
        <v>12.0</v>
      </c>
      <c r="T20" s="39"/>
      <c r="U20" s="39"/>
      <c r="V20" s="39"/>
      <c r="W20" s="39"/>
      <c r="X20" s="39"/>
      <c r="Y20" s="39"/>
      <c r="Z20" s="39"/>
      <c r="AA20" s="39"/>
    </row>
    <row r="21">
      <c r="A21" s="39" t="s">
        <v>200</v>
      </c>
      <c r="B21" s="39" t="s">
        <v>201</v>
      </c>
      <c r="C21" s="39" t="s">
        <v>192</v>
      </c>
      <c r="D21" s="39" t="s">
        <v>194</v>
      </c>
      <c r="E21" s="39" t="s">
        <v>181</v>
      </c>
      <c r="F21" s="39" t="s">
        <v>34</v>
      </c>
      <c r="G21" s="40">
        <v>50119.0</v>
      </c>
      <c r="H21" s="41">
        <v>501.1875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45">
        <v>20.0</v>
      </c>
      <c r="T21" s="39"/>
      <c r="U21" s="39"/>
      <c r="V21" s="39"/>
      <c r="W21" s="39"/>
      <c r="X21" s="39"/>
      <c r="Y21" s="39"/>
      <c r="Z21" s="39"/>
      <c r="AA21" s="39"/>
    </row>
    <row r="22">
      <c r="A22" s="39" t="s">
        <v>200</v>
      </c>
      <c r="B22" s="39" t="s">
        <v>201</v>
      </c>
      <c r="C22" s="39" t="s">
        <v>192</v>
      </c>
      <c r="D22" s="39" t="s">
        <v>193</v>
      </c>
      <c r="E22" s="39" t="s">
        <v>181</v>
      </c>
      <c r="F22" s="39" t="s">
        <v>34</v>
      </c>
      <c r="G22" s="40">
        <v>90956.25</v>
      </c>
      <c r="H22" s="41">
        <v>1819.125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45">
        <v>12.0</v>
      </c>
      <c r="T22" s="39"/>
      <c r="U22" s="39"/>
      <c r="V22" s="39"/>
      <c r="W22" s="39"/>
      <c r="X22" s="39"/>
      <c r="Y22" s="39"/>
      <c r="Z22" s="39"/>
      <c r="AA22" s="39"/>
    </row>
    <row r="23">
      <c r="A23" s="39" t="s">
        <v>200</v>
      </c>
      <c r="B23" s="39" t="s">
        <v>201</v>
      </c>
      <c r="C23" s="39" t="s">
        <v>192</v>
      </c>
      <c r="D23" s="39" t="s">
        <v>195</v>
      </c>
      <c r="E23" s="39" t="s">
        <v>181</v>
      </c>
      <c r="F23" s="39" t="s">
        <v>34</v>
      </c>
      <c r="G23" s="40">
        <v>59951.25</v>
      </c>
      <c r="H23" s="41">
        <v>719.415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45">
        <v>10.0</v>
      </c>
      <c r="T23" s="39"/>
      <c r="U23" s="39"/>
      <c r="V23" s="39"/>
      <c r="W23" s="39"/>
      <c r="X23" s="39"/>
      <c r="Y23" s="39"/>
      <c r="Z23" s="39"/>
      <c r="AA23" s="39"/>
    </row>
    <row r="24">
      <c r="A24" s="39" t="s">
        <v>202</v>
      </c>
      <c r="B24" s="39" t="s">
        <v>179</v>
      </c>
      <c r="C24" s="39" t="s">
        <v>198</v>
      </c>
      <c r="D24" s="39" t="s">
        <v>51</v>
      </c>
      <c r="E24" s="39" t="s">
        <v>180</v>
      </c>
      <c r="F24" s="39" t="s">
        <v>34</v>
      </c>
      <c r="G24" s="40">
        <f t="shared" ref="G24:G26" si="5">P24/Q24*I24*O24</f>
        <v>360000</v>
      </c>
      <c r="H24" s="41">
        <f t="shared" ref="H24:H30" si="6">G24/1000*S24</f>
        <v>5400</v>
      </c>
      <c r="I24" s="47">
        <v>90000.0</v>
      </c>
      <c r="J24" s="39"/>
      <c r="K24" s="39"/>
      <c r="L24" s="39"/>
      <c r="M24" s="39"/>
      <c r="N24" s="39">
        <v>1.0</v>
      </c>
      <c r="O24" s="39">
        <f t="shared" ref="O24:O30" si="7">N24*R24</f>
        <v>2</v>
      </c>
      <c r="P24" s="39">
        <v>60.0</v>
      </c>
      <c r="Q24" s="39">
        <v>30.0</v>
      </c>
      <c r="R24" s="39">
        <v>2.0</v>
      </c>
      <c r="S24" s="45">
        <v>15.0</v>
      </c>
      <c r="T24" s="39"/>
      <c r="U24" s="39"/>
      <c r="V24" s="39"/>
      <c r="W24" s="39"/>
      <c r="X24" s="39"/>
      <c r="Y24" s="39"/>
      <c r="Z24" s="39"/>
      <c r="AA24" s="39"/>
    </row>
    <row r="25">
      <c r="A25" s="39" t="s">
        <v>202</v>
      </c>
      <c r="B25" s="39" t="s">
        <v>179</v>
      </c>
      <c r="C25" s="39" t="s">
        <v>43</v>
      </c>
      <c r="D25" s="39" t="s">
        <v>42</v>
      </c>
      <c r="E25" s="39" t="s">
        <v>180</v>
      </c>
      <c r="F25" s="39" t="s">
        <v>34</v>
      </c>
      <c r="G25" s="40">
        <f t="shared" si="5"/>
        <v>39000</v>
      </c>
      <c r="H25" s="41">
        <f t="shared" si="6"/>
        <v>585</v>
      </c>
      <c r="I25" s="24">
        <v>1500.0</v>
      </c>
      <c r="J25" s="39"/>
      <c r="K25" s="39"/>
      <c r="L25" s="39"/>
      <c r="M25" s="39"/>
      <c r="N25" s="39">
        <v>1.0</v>
      </c>
      <c r="O25" s="39">
        <f t="shared" si="7"/>
        <v>13</v>
      </c>
      <c r="P25" s="39">
        <v>60.0</v>
      </c>
      <c r="Q25" s="39">
        <v>30.0</v>
      </c>
      <c r="R25" s="47">
        <v>13.0</v>
      </c>
      <c r="S25" s="45">
        <v>15.0</v>
      </c>
      <c r="T25" s="39"/>
      <c r="U25" s="39"/>
      <c r="V25" s="39"/>
      <c r="W25" s="39"/>
      <c r="X25" s="39"/>
      <c r="Y25" s="39"/>
      <c r="Z25" s="39"/>
      <c r="AA25" s="39"/>
    </row>
    <row r="26">
      <c r="A26" s="39" t="s">
        <v>202</v>
      </c>
      <c r="B26" s="39" t="s">
        <v>179</v>
      </c>
      <c r="C26" s="39" t="s">
        <v>43</v>
      </c>
      <c r="D26" s="47" t="s">
        <v>97</v>
      </c>
      <c r="E26" s="39" t="s">
        <v>180</v>
      </c>
      <c r="F26" s="39" t="s">
        <v>34</v>
      </c>
      <c r="G26" s="40">
        <f t="shared" si="5"/>
        <v>100000</v>
      </c>
      <c r="H26" s="41">
        <f t="shared" si="6"/>
        <v>1500</v>
      </c>
      <c r="I26" s="47">
        <v>50000.0</v>
      </c>
      <c r="J26" s="39"/>
      <c r="K26" s="39"/>
      <c r="L26" s="39"/>
      <c r="M26" s="39"/>
      <c r="N26" s="39">
        <v>1.0</v>
      </c>
      <c r="O26" s="39">
        <f t="shared" si="7"/>
        <v>1</v>
      </c>
      <c r="P26" s="39">
        <v>60.0</v>
      </c>
      <c r="Q26" s="39">
        <v>30.0</v>
      </c>
      <c r="R26" s="47">
        <v>1.0</v>
      </c>
      <c r="S26" s="45">
        <v>15.0</v>
      </c>
      <c r="T26" s="39"/>
      <c r="U26" s="39"/>
      <c r="V26" s="39"/>
      <c r="W26" s="39"/>
      <c r="X26" s="39"/>
      <c r="Y26" s="39"/>
      <c r="Z26" s="39"/>
      <c r="AA26" s="39"/>
    </row>
    <row r="27">
      <c r="A27" s="39" t="s">
        <v>202</v>
      </c>
      <c r="B27" s="39" t="s">
        <v>179</v>
      </c>
      <c r="C27" s="39" t="s">
        <v>183</v>
      </c>
      <c r="D27" s="39" t="s">
        <v>183</v>
      </c>
      <c r="E27" s="39" t="s">
        <v>180</v>
      </c>
      <c r="F27" s="39" t="s">
        <v>34</v>
      </c>
      <c r="G27" s="40">
        <f>J27*K27*L27*N27</f>
        <v>33700.8</v>
      </c>
      <c r="H27" s="41">
        <f t="shared" si="6"/>
        <v>674.016</v>
      </c>
      <c r="I27" s="39"/>
      <c r="J27" s="34">
        <v>6018.0</v>
      </c>
      <c r="K27" s="39">
        <v>0.7</v>
      </c>
      <c r="L27" s="39">
        <v>8.0</v>
      </c>
      <c r="M27" s="39"/>
      <c r="N27" s="39">
        <v>1.0</v>
      </c>
      <c r="O27" s="39">
        <f t="shared" si="7"/>
        <v>13</v>
      </c>
      <c r="P27" s="39"/>
      <c r="Q27" s="39"/>
      <c r="R27" s="47">
        <v>13.0</v>
      </c>
      <c r="S27" s="45">
        <v>20.0</v>
      </c>
      <c r="T27" s="39"/>
      <c r="U27" s="39"/>
      <c r="V27" s="39"/>
      <c r="W27" s="39"/>
      <c r="X27" s="39"/>
      <c r="Y27" s="39"/>
      <c r="Z27" s="39"/>
      <c r="AA27" s="39"/>
    </row>
    <row r="28">
      <c r="A28" s="39" t="s">
        <v>202</v>
      </c>
      <c r="B28" s="39" t="s">
        <v>179</v>
      </c>
      <c r="C28" s="39" t="s">
        <v>43</v>
      </c>
      <c r="D28" s="39" t="s">
        <v>203</v>
      </c>
      <c r="E28" s="39" t="s">
        <v>181</v>
      </c>
      <c r="F28" s="39" t="s">
        <v>34</v>
      </c>
      <c r="G28" s="40">
        <f>P28/Q28*I28*O28</f>
        <v>28000</v>
      </c>
      <c r="H28" s="41">
        <f t="shared" si="6"/>
        <v>420</v>
      </c>
      <c r="I28" s="24">
        <v>1000.0</v>
      </c>
      <c r="J28" s="39"/>
      <c r="K28" s="39"/>
      <c r="L28" s="39"/>
      <c r="M28" s="39"/>
      <c r="N28" s="39">
        <v>1.0</v>
      </c>
      <c r="O28" s="39">
        <f t="shared" si="7"/>
        <v>14</v>
      </c>
      <c r="P28" s="39">
        <v>60.0</v>
      </c>
      <c r="Q28" s="39">
        <v>30.0</v>
      </c>
      <c r="R28" s="47">
        <v>14.0</v>
      </c>
      <c r="S28" s="45">
        <v>15.0</v>
      </c>
      <c r="T28" s="39"/>
      <c r="U28" s="39"/>
      <c r="V28" s="39"/>
      <c r="W28" s="39"/>
      <c r="X28" s="39"/>
      <c r="Y28" s="39"/>
      <c r="Z28" s="39"/>
      <c r="AA28" s="39"/>
    </row>
    <row r="29">
      <c r="A29" s="39" t="s">
        <v>202</v>
      </c>
      <c r="B29" s="39" t="s">
        <v>179</v>
      </c>
      <c r="C29" s="39" t="s">
        <v>183</v>
      </c>
      <c r="D29" s="39" t="s">
        <v>183</v>
      </c>
      <c r="E29" s="39" t="s">
        <v>181</v>
      </c>
      <c r="F29" s="39" t="s">
        <v>34</v>
      </c>
      <c r="G29" s="40">
        <f>J29*K29*L29*N29</f>
        <v>21560</v>
      </c>
      <c r="H29" s="41">
        <f t="shared" si="6"/>
        <v>431.2</v>
      </c>
      <c r="I29" s="39"/>
      <c r="J29" s="34">
        <v>3850.0</v>
      </c>
      <c r="K29" s="39">
        <v>0.7</v>
      </c>
      <c r="L29" s="39">
        <v>8.0</v>
      </c>
      <c r="M29" s="39"/>
      <c r="N29" s="39">
        <v>1.0</v>
      </c>
      <c r="O29" s="39">
        <f t="shared" si="7"/>
        <v>14</v>
      </c>
      <c r="P29" s="39"/>
      <c r="Q29" s="39"/>
      <c r="R29" s="47">
        <v>14.0</v>
      </c>
      <c r="S29" s="45">
        <v>20.0</v>
      </c>
      <c r="T29" s="39"/>
      <c r="U29" s="39"/>
      <c r="V29" s="39"/>
      <c r="W29" s="39"/>
      <c r="X29" s="39"/>
      <c r="Y29" s="39"/>
      <c r="Z29" s="39"/>
      <c r="AA29" s="39"/>
    </row>
    <row r="30">
      <c r="A30" s="39" t="s">
        <v>202</v>
      </c>
      <c r="B30" s="39" t="s">
        <v>179</v>
      </c>
      <c r="C30" s="39" t="s">
        <v>198</v>
      </c>
      <c r="D30" s="47" t="s">
        <v>133</v>
      </c>
      <c r="E30" s="39" t="s">
        <v>181</v>
      </c>
      <c r="F30" s="39" t="s">
        <v>34</v>
      </c>
      <c r="G30" s="40">
        <f>P30/Q30*I30*O30</f>
        <v>30000</v>
      </c>
      <c r="H30" s="41">
        <f t="shared" si="6"/>
        <v>450</v>
      </c>
      <c r="I30" s="47">
        <v>15000.0</v>
      </c>
      <c r="J30" s="39"/>
      <c r="K30" s="39"/>
      <c r="L30" s="39"/>
      <c r="M30" s="39"/>
      <c r="N30" s="39">
        <v>1.0</v>
      </c>
      <c r="O30" s="39">
        <f t="shared" si="7"/>
        <v>1</v>
      </c>
      <c r="P30" s="39">
        <v>60.0</v>
      </c>
      <c r="Q30" s="39">
        <v>30.0</v>
      </c>
      <c r="R30" s="47">
        <v>1.0</v>
      </c>
      <c r="S30" s="45">
        <v>15.0</v>
      </c>
      <c r="T30" s="39"/>
      <c r="U30" s="39"/>
      <c r="V30" s="39"/>
      <c r="W30" s="39"/>
      <c r="X30" s="39"/>
      <c r="Y30" s="39"/>
      <c r="Z30" s="39"/>
      <c r="AA30" s="39"/>
    </row>
  </sheetData>
  <autoFilter ref="$A$1:$AE$10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7.57"/>
  </cols>
  <sheetData>
    <row r="1"/>
    <row r="2"/>
    <row r="3"/>
    <row r="4"/>
    <row r="5"/>
    <row r="6"/>
    <row r="7"/>
    <row r="8"/>
    <row r="9"/>
    <row r="10"/>
    <row r="11"/>
    <row r="16">
      <c r="A16" s="51"/>
      <c r="B16" s="52" t="s">
        <v>207</v>
      </c>
      <c r="C16" s="52" t="s">
        <v>208</v>
      </c>
      <c r="D16" s="52" t="s">
        <v>32</v>
      </c>
    </row>
    <row r="17">
      <c r="A17" s="53" t="s">
        <v>197</v>
      </c>
      <c r="B17" s="54">
        <v>36481.61</v>
      </c>
      <c r="C17" s="55">
        <v>1768232.0</v>
      </c>
      <c r="D17" s="56">
        <f>B17/C17*1000</f>
        <v>20.63168747</v>
      </c>
    </row>
    <row r="18">
      <c r="A18" s="53" t="s">
        <v>209</v>
      </c>
      <c r="B18" s="54">
        <v>10982.0</v>
      </c>
      <c r="C18" s="55"/>
      <c r="D18" s="57"/>
    </row>
    <row r="19">
      <c r="A19" s="53" t="s">
        <v>202</v>
      </c>
      <c r="B19" s="54">
        <v>9460.216</v>
      </c>
      <c r="C19" s="55">
        <v>612260.8</v>
      </c>
      <c r="D19" s="56">
        <f t="shared" ref="D19:D26" si="1">B19/C19*1000</f>
        <v>15.45128481</v>
      </c>
    </row>
    <row r="20">
      <c r="A20" s="53" t="s">
        <v>200</v>
      </c>
      <c r="B20" s="54">
        <v>7568.4555</v>
      </c>
      <c r="C20" s="55">
        <v>501404.875</v>
      </c>
      <c r="D20" s="56">
        <f t="shared" si="1"/>
        <v>15.09449923</v>
      </c>
    </row>
    <row r="21">
      <c r="A21" s="53" t="s">
        <v>178</v>
      </c>
      <c r="B21" s="54">
        <v>7035.0</v>
      </c>
      <c r="C21" s="55">
        <v>469000.0</v>
      </c>
      <c r="D21" s="56">
        <f t="shared" si="1"/>
        <v>15</v>
      </c>
    </row>
    <row r="22">
      <c r="A22" s="53" t="s">
        <v>184</v>
      </c>
      <c r="B22" s="54">
        <v>6600.0</v>
      </c>
      <c r="C22" s="55">
        <v>1320000.0</v>
      </c>
      <c r="D22" s="56">
        <f t="shared" si="1"/>
        <v>5</v>
      </c>
    </row>
    <row r="23">
      <c r="A23" s="53" t="s">
        <v>191</v>
      </c>
      <c r="B23" s="54">
        <v>3649.6000000000004</v>
      </c>
      <c r="C23" s="55">
        <v>235200.0</v>
      </c>
      <c r="D23" s="56">
        <f t="shared" si="1"/>
        <v>15.5170068</v>
      </c>
    </row>
    <row r="24">
      <c r="A24" s="53" t="s">
        <v>210</v>
      </c>
      <c r="B24" s="54">
        <v>2059.34</v>
      </c>
      <c r="C24" s="55">
        <v>411868.0</v>
      </c>
      <c r="D24" s="56">
        <f t="shared" si="1"/>
        <v>5</v>
      </c>
    </row>
    <row r="25">
      <c r="A25" s="53" t="s">
        <v>189</v>
      </c>
      <c r="B25" s="54">
        <v>360.0</v>
      </c>
      <c r="C25" s="55">
        <v>45000.0</v>
      </c>
      <c r="D25" s="56">
        <f t="shared" si="1"/>
        <v>8</v>
      </c>
    </row>
    <row r="26">
      <c r="A26" s="58" t="s">
        <v>206</v>
      </c>
      <c r="B26" s="59">
        <f t="shared" ref="B26:C26" si="2">SUM(B17:B25)</f>
        <v>84196.2215</v>
      </c>
      <c r="C26" s="60">
        <f t="shared" si="2"/>
        <v>5362965.675</v>
      </c>
      <c r="D26" s="61">
        <f t="shared" si="1"/>
        <v>15.69956375</v>
      </c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12">
      <c r="A12" s="51"/>
      <c r="B12" s="52" t="s">
        <v>207</v>
      </c>
      <c r="C12" s="52" t="s">
        <v>208</v>
      </c>
      <c r="D12" s="52" t="s">
        <v>32</v>
      </c>
    </row>
    <row r="13">
      <c r="A13" s="53" t="s">
        <v>211</v>
      </c>
      <c r="B13" s="54">
        <v>10609.599999999999</v>
      </c>
      <c r="C13" s="55">
        <v>1600200.0</v>
      </c>
      <c r="D13" s="56">
        <f t="shared" ref="D13:D14" si="1">B13/C13*1000</f>
        <v>6.630171229</v>
      </c>
    </row>
    <row r="14">
      <c r="A14" s="25" t="s">
        <v>34</v>
      </c>
      <c r="B14" s="54">
        <v>62604.621499999994</v>
      </c>
      <c r="C14" s="55">
        <v>3762765.675</v>
      </c>
      <c r="D14" s="56">
        <f t="shared" si="1"/>
        <v>16.63792723</v>
      </c>
    </row>
    <row r="15">
      <c r="A15" s="53" t="s">
        <v>209</v>
      </c>
      <c r="B15" s="54">
        <v>10982.0</v>
      </c>
      <c r="C15" s="62"/>
      <c r="D15" s="63"/>
    </row>
    <row r="16">
      <c r="A16" s="58" t="s">
        <v>206</v>
      </c>
      <c r="B16" s="59">
        <f t="shared" ref="B16:C16" si="2">SUM(B6:B15)</f>
        <v>84196.2215</v>
      </c>
      <c r="C16" s="60">
        <f t="shared" si="2"/>
        <v>5362965.675</v>
      </c>
      <c r="D16" s="61">
        <f>B16/C16*1000</f>
        <v>15.69956375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22">
      <c r="A22" s="51"/>
      <c r="B22" s="52" t="s">
        <v>207</v>
      </c>
      <c r="C22" s="52" t="s">
        <v>208</v>
      </c>
      <c r="D22" s="52" t="s">
        <v>32</v>
      </c>
    </row>
    <row r="23">
      <c r="A23" s="53" t="s">
        <v>216</v>
      </c>
      <c r="B23" s="54">
        <v>85853.13</v>
      </c>
      <c r="C23" s="55">
        <v>6337462.0</v>
      </c>
      <c r="D23" s="56">
        <v>12.473154472822143</v>
      </c>
    </row>
    <row r="24">
      <c r="A24" s="53" t="s">
        <v>217</v>
      </c>
      <c r="B24" s="54">
        <v>27331.045149999994</v>
      </c>
      <c r="C24" s="55">
        <v>2180461.21</v>
      </c>
      <c r="D24" s="56">
        <v>14.836912126251212</v>
      </c>
    </row>
    <row r="25">
      <c r="A25" s="53" t="s">
        <v>218</v>
      </c>
      <c r="B25" s="54">
        <v>35232.511399999996</v>
      </c>
      <c r="C25" s="55">
        <v>3523287.1400000006</v>
      </c>
      <c r="D25" s="56">
        <v>16.461752668848387</v>
      </c>
    </row>
    <row r="26">
      <c r="A26" s="53" t="s">
        <v>219</v>
      </c>
      <c r="B26" s="54">
        <v>14841.0</v>
      </c>
      <c r="C26" s="63"/>
      <c r="D26" s="63"/>
    </row>
    <row r="27">
      <c r="A27" s="58" t="s">
        <v>206</v>
      </c>
      <c r="B27" s="64">
        <f t="shared" ref="B27:C27" si="1">SUM(B23:B26)</f>
        <v>163257.6866</v>
      </c>
      <c r="C27" s="65">
        <f t="shared" si="1"/>
        <v>12041210.35</v>
      </c>
      <c r="D27" s="61">
        <v>15.57176947490391</v>
      </c>
    </row>
    <row r="28">
      <c r="A28" s="66"/>
      <c r="B28" s="67"/>
      <c r="C28" s="68"/>
      <c r="D28" s="6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7">
      <c r="A17" s="70" t="s">
        <v>162</v>
      </c>
      <c r="B17" s="70" t="s">
        <v>207</v>
      </c>
      <c r="C17" s="70" t="s">
        <v>208</v>
      </c>
      <c r="D17" s="70" t="s">
        <v>32</v>
      </c>
    </row>
    <row r="18">
      <c r="A18" s="71" t="s">
        <v>51</v>
      </c>
      <c r="B18" s="72">
        <v>29055.0</v>
      </c>
      <c r="C18" s="73">
        <v>1267500.0</v>
      </c>
      <c r="D18" s="74">
        <f t="shared" ref="D18:D19" si="1">B18/C18*1000</f>
        <v>22.92307692</v>
      </c>
    </row>
    <row r="19">
      <c r="A19" s="71" t="s">
        <v>42</v>
      </c>
      <c r="B19" s="72">
        <v>17314.61</v>
      </c>
      <c r="C19" s="73">
        <v>1473432.0</v>
      </c>
      <c r="D19" s="74">
        <f t="shared" si="1"/>
        <v>11.75121078</v>
      </c>
      <c r="G19" s="5">
        <f>B14*0.15</f>
        <v>10982.13323</v>
      </c>
    </row>
    <row r="20">
      <c r="A20" s="71" t="s">
        <v>209</v>
      </c>
      <c r="B20" s="72">
        <v>10982.0</v>
      </c>
      <c r="C20" s="73"/>
      <c r="D20" s="74"/>
    </row>
    <row r="21">
      <c r="A21" s="71" t="s">
        <v>193</v>
      </c>
      <c r="B21" s="72">
        <v>7015.725</v>
      </c>
      <c r="C21" s="73">
        <v>350786.25</v>
      </c>
      <c r="D21" s="74">
        <f t="shared" ref="D21:D29" si="2">B21/C21*1000</f>
        <v>20</v>
      </c>
    </row>
    <row r="22">
      <c r="A22" s="71" t="s">
        <v>186</v>
      </c>
      <c r="B22" s="72">
        <v>6600.0</v>
      </c>
      <c r="C22" s="73">
        <v>1320000.0</v>
      </c>
      <c r="D22" s="74">
        <f t="shared" si="2"/>
        <v>5</v>
      </c>
    </row>
    <row r="23">
      <c r="A23" s="71" t="s">
        <v>97</v>
      </c>
      <c r="B23" s="72">
        <v>5032.5</v>
      </c>
      <c r="C23" s="73">
        <v>309250.0</v>
      </c>
      <c r="D23" s="74">
        <f t="shared" si="2"/>
        <v>16.27324171</v>
      </c>
    </row>
    <row r="24">
      <c r="A24" s="71" t="s">
        <v>194</v>
      </c>
      <c r="B24" s="72">
        <v>2137.45</v>
      </c>
      <c r="C24" s="73">
        <v>213745.25</v>
      </c>
      <c r="D24" s="74">
        <f t="shared" si="2"/>
        <v>9.999988304</v>
      </c>
    </row>
    <row r="25">
      <c r="A25" s="71" t="s">
        <v>195</v>
      </c>
      <c r="B25" s="72">
        <v>2064.8805</v>
      </c>
      <c r="C25" s="73">
        <v>172073.375</v>
      </c>
      <c r="D25" s="74">
        <f t="shared" si="2"/>
        <v>12</v>
      </c>
    </row>
    <row r="26">
      <c r="A26" s="71" t="s">
        <v>133</v>
      </c>
      <c r="B26" s="72">
        <v>2059.5</v>
      </c>
      <c r="C26" s="73">
        <v>118050.0</v>
      </c>
      <c r="D26" s="74">
        <f t="shared" si="2"/>
        <v>17.44599746</v>
      </c>
    </row>
    <row r="27">
      <c r="A27" s="71" t="s">
        <v>183</v>
      </c>
      <c r="B27" s="72">
        <v>1154.5559999999998</v>
      </c>
      <c r="C27" s="73">
        <v>65128.799999999996</v>
      </c>
      <c r="D27" s="74">
        <f t="shared" si="2"/>
        <v>17.72727273</v>
      </c>
    </row>
    <row r="28">
      <c r="A28" s="71" t="s">
        <v>203</v>
      </c>
      <c r="B28" s="72">
        <v>420.0</v>
      </c>
      <c r="C28" s="73">
        <v>28000.0</v>
      </c>
      <c r="D28" s="74">
        <f t="shared" si="2"/>
        <v>15</v>
      </c>
    </row>
    <row r="29">
      <c r="A29" s="71" t="s">
        <v>190</v>
      </c>
      <c r="B29" s="72">
        <v>360.0</v>
      </c>
      <c r="C29" s="73">
        <v>45000.0</v>
      </c>
      <c r="D29" s="74">
        <f t="shared" si="2"/>
        <v>8</v>
      </c>
    </row>
    <row r="30">
      <c r="A30" s="75" t="s">
        <v>206</v>
      </c>
      <c r="B30" s="76">
        <f t="shared" ref="B30:C30" si="3">SUM(B18:B29)</f>
        <v>84196.2215</v>
      </c>
      <c r="C30" s="73">
        <f t="shared" si="3"/>
        <v>5362965.675</v>
      </c>
      <c r="D30" s="77">
        <f>AVERAGE(D18:D19,D21:D29)</f>
        <v>14.1927989</v>
      </c>
    </row>
    <row r="31">
      <c r="A31" s="78"/>
      <c r="B31" s="72"/>
      <c r="C31" s="73"/>
      <c r="D31" s="74"/>
    </row>
    <row r="32">
      <c r="A32" s="78"/>
      <c r="B32" s="72"/>
      <c r="C32" s="73"/>
      <c r="D32" s="74"/>
    </row>
    <row r="33">
      <c r="A33" s="78"/>
      <c r="B33" s="72"/>
      <c r="C33" s="73"/>
      <c r="D33" s="74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1.86"/>
    <col customWidth="1" min="3" max="3" width="14.14"/>
    <col customWidth="1" min="4" max="4" width="15.86"/>
    <col customWidth="1" min="5" max="5" width="11.29"/>
    <col customWidth="1" min="6" max="6" width="16.0"/>
    <col customWidth="1" min="7" max="7" width="16.71"/>
    <col customWidth="1" min="8" max="8" width="15.86"/>
    <col customWidth="1" min="9" max="9" width="11.0"/>
    <col customWidth="1" min="10" max="10" width="12.71"/>
    <col customWidth="1" min="11" max="12" width="11.57"/>
    <col customWidth="1" min="13" max="13" width="11.29"/>
    <col customWidth="1" min="14" max="26" width="8.71"/>
  </cols>
  <sheetData>
    <row r="1" ht="41.25" customHeight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162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31</v>
      </c>
      <c r="M1" s="1" t="s">
        <v>30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1.25" hidden="1" customHeight="1">
      <c r="A2" s="20" t="s">
        <v>126</v>
      </c>
      <c r="B2" s="20" t="s">
        <v>34</v>
      </c>
      <c r="C2" s="20" t="s">
        <v>229</v>
      </c>
      <c r="D2" s="20" t="s">
        <v>230</v>
      </c>
      <c r="E2" s="20" t="s">
        <v>194</v>
      </c>
      <c r="F2" s="79">
        <v>0.675</v>
      </c>
      <c r="G2" s="80">
        <v>10.0</v>
      </c>
      <c r="H2" s="81">
        <v>1100.0</v>
      </c>
      <c r="I2" s="82">
        <v>30.0</v>
      </c>
      <c r="J2" s="83">
        <f t="shared" ref="J2:J19" si="1">L2/I2</f>
        <v>816.75</v>
      </c>
      <c r="K2" s="84">
        <f t="shared" ref="K2:K19" si="2">M2/I2</f>
        <v>8.1675</v>
      </c>
      <c r="L2" s="83">
        <f>H2*F2*I2*1.1</f>
        <v>24502.5</v>
      </c>
      <c r="M2" s="84">
        <f t="shared" ref="M2:M19" si="3">(L2/1000)*G2</f>
        <v>245.025</v>
      </c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41.25" hidden="1" customHeight="1">
      <c r="A3" s="20" t="s">
        <v>126</v>
      </c>
      <c r="B3" s="20" t="s">
        <v>34</v>
      </c>
      <c r="C3" s="20" t="s">
        <v>231</v>
      </c>
      <c r="D3" s="20" t="s">
        <v>230</v>
      </c>
      <c r="E3" s="20" t="s">
        <v>194</v>
      </c>
      <c r="F3" s="79">
        <v>0.675</v>
      </c>
      <c r="G3" s="80">
        <v>10.0</v>
      </c>
      <c r="H3" s="81">
        <v>1100.0</v>
      </c>
      <c r="I3" s="82">
        <v>30.0</v>
      </c>
      <c r="J3" s="83">
        <f t="shared" si="1"/>
        <v>668.25</v>
      </c>
      <c r="K3" s="84">
        <f t="shared" si="2"/>
        <v>6.6825</v>
      </c>
      <c r="L3" s="83">
        <f t="shared" ref="L3:L4" si="4">H3*F3*I3*0.9</f>
        <v>20047.5</v>
      </c>
      <c r="M3" s="84">
        <f t="shared" si="3"/>
        <v>200.475</v>
      </c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 ht="41.25" hidden="1" customHeight="1">
      <c r="A4" s="20" t="s">
        <v>126</v>
      </c>
      <c r="B4" s="20" t="s">
        <v>34</v>
      </c>
      <c r="C4" s="20" t="s">
        <v>232</v>
      </c>
      <c r="D4" s="20" t="s">
        <v>230</v>
      </c>
      <c r="E4" s="20" t="s">
        <v>194</v>
      </c>
      <c r="F4" s="79">
        <f>37.5%/2</f>
        <v>0.1875</v>
      </c>
      <c r="G4" s="80">
        <v>10.0</v>
      </c>
      <c r="H4" s="81">
        <v>1100.0</v>
      </c>
      <c r="I4" s="82">
        <v>30.0</v>
      </c>
      <c r="J4" s="83">
        <f t="shared" si="1"/>
        <v>185.625</v>
      </c>
      <c r="K4" s="84">
        <f t="shared" si="2"/>
        <v>1.85625</v>
      </c>
      <c r="L4" s="83">
        <f t="shared" si="4"/>
        <v>5568.75</v>
      </c>
      <c r="M4" s="84">
        <f t="shared" si="3"/>
        <v>55.6875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ht="41.25" customHeight="1">
      <c r="A5" s="20" t="s">
        <v>126</v>
      </c>
      <c r="B5" s="20" t="s">
        <v>34</v>
      </c>
      <c r="C5" s="20" t="s">
        <v>229</v>
      </c>
      <c r="D5" s="20" t="s">
        <v>230</v>
      </c>
      <c r="E5" s="20" t="s">
        <v>233</v>
      </c>
      <c r="F5" s="79">
        <v>0.375</v>
      </c>
      <c r="G5" s="80">
        <v>20.0</v>
      </c>
      <c r="H5" s="81">
        <v>3300.0</v>
      </c>
      <c r="I5" s="82">
        <v>30.0</v>
      </c>
      <c r="J5" s="83">
        <f t="shared" si="1"/>
        <v>1361.25</v>
      </c>
      <c r="K5" s="84">
        <f t="shared" si="2"/>
        <v>27.225</v>
      </c>
      <c r="L5" s="83">
        <f>H5*F5*I5*1.1</f>
        <v>40837.5</v>
      </c>
      <c r="M5" s="84">
        <f t="shared" si="3"/>
        <v>816.75</v>
      </c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41.25" customHeight="1">
      <c r="A6" s="20" t="s">
        <v>126</v>
      </c>
      <c r="B6" s="20" t="s">
        <v>34</v>
      </c>
      <c r="C6" s="20" t="s">
        <v>231</v>
      </c>
      <c r="D6" s="20" t="s">
        <v>230</v>
      </c>
      <c r="E6" s="20" t="s">
        <v>233</v>
      </c>
      <c r="F6" s="79">
        <v>0.375</v>
      </c>
      <c r="G6" s="80">
        <v>20.0</v>
      </c>
      <c r="H6" s="81">
        <v>3300.0</v>
      </c>
      <c r="I6" s="82">
        <v>30.0</v>
      </c>
      <c r="J6" s="83">
        <f t="shared" si="1"/>
        <v>1113.75</v>
      </c>
      <c r="K6" s="84">
        <f t="shared" si="2"/>
        <v>22.275</v>
      </c>
      <c r="L6" s="83">
        <f t="shared" ref="L6:L7" si="5">H6*F6*I6*0.9</f>
        <v>33412.5</v>
      </c>
      <c r="M6" s="84">
        <f t="shared" si="3"/>
        <v>668.25</v>
      </c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41.25" customHeight="1">
      <c r="A7" s="20" t="s">
        <v>126</v>
      </c>
      <c r="B7" s="20" t="s">
        <v>34</v>
      </c>
      <c r="C7" s="20" t="s">
        <v>232</v>
      </c>
      <c r="D7" s="20" t="s">
        <v>230</v>
      </c>
      <c r="E7" s="20" t="s">
        <v>233</v>
      </c>
      <c r="F7" s="79">
        <f>37.5%/2</f>
        <v>0.1875</v>
      </c>
      <c r="G7" s="80">
        <v>20.0</v>
      </c>
      <c r="H7" s="81">
        <v>3300.0</v>
      </c>
      <c r="I7" s="82">
        <v>30.0</v>
      </c>
      <c r="J7" s="83">
        <f t="shared" si="1"/>
        <v>556.875</v>
      </c>
      <c r="K7" s="84">
        <f t="shared" si="2"/>
        <v>11.1375</v>
      </c>
      <c r="L7" s="83">
        <f t="shared" si="5"/>
        <v>16706.25</v>
      </c>
      <c r="M7" s="84">
        <f t="shared" si="3"/>
        <v>334.125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 ht="41.25" hidden="1" customHeight="1">
      <c r="A8" s="20" t="s">
        <v>126</v>
      </c>
      <c r="B8" s="20" t="s">
        <v>34</v>
      </c>
      <c r="C8" s="20" t="s">
        <v>229</v>
      </c>
      <c r="D8" s="20" t="s">
        <v>230</v>
      </c>
      <c r="E8" s="20" t="s">
        <v>195</v>
      </c>
      <c r="F8" s="79">
        <v>0.0525</v>
      </c>
      <c r="G8" s="80">
        <v>12.0</v>
      </c>
      <c r="H8" s="81">
        <v>7300.0</v>
      </c>
      <c r="I8" s="82">
        <v>30.0</v>
      </c>
      <c r="J8" s="83">
        <f t="shared" si="1"/>
        <v>421.575</v>
      </c>
      <c r="K8" s="84">
        <f t="shared" si="2"/>
        <v>5.0589</v>
      </c>
      <c r="L8" s="83">
        <f>H8*F8*I8*1.1</f>
        <v>12647.25</v>
      </c>
      <c r="M8" s="84">
        <f t="shared" si="3"/>
        <v>151.767</v>
      </c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ht="41.25" hidden="1" customHeight="1">
      <c r="A9" s="20" t="s">
        <v>126</v>
      </c>
      <c r="B9" s="20" t="s">
        <v>34</v>
      </c>
      <c r="C9" s="20" t="s">
        <v>231</v>
      </c>
      <c r="D9" s="20" t="s">
        <v>230</v>
      </c>
      <c r="E9" s="20" t="s">
        <v>195</v>
      </c>
      <c r="F9" s="79">
        <v>0.0525</v>
      </c>
      <c r="G9" s="80">
        <v>12.0</v>
      </c>
      <c r="H9" s="81">
        <v>7300.0</v>
      </c>
      <c r="I9" s="82">
        <v>30.0</v>
      </c>
      <c r="J9" s="83">
        <f t="shared" si="1"/>
        <v>344.925</v>
      </c>
      <c r="K9" s="84">
        <f t="shared" si="2"/>
        <v>4.1391</v>
      </c>
      <c r="L9" s="83">
        <f t="shared" ref="L9:L10" si="6">H9*F9*I9*0.9</f>
        <v>10347.75</v>
      </c>
      <c r="M9" s="84">
        <f t="shared" si="3"/>
        <v>124.173</v>
      </c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 ht="41.25" hidden="1" customHeight="1">
      <c r="A10" s="20" t="s">
        <v>126</v>
      </c>
      <c r="B10" s="20" t="s">
        <v>34</v>
      </c>
      <c r="C10" s="20" t="s">
        <v>232</v>
      </c>
      <c r="D10" s="20" t="s">
        <v>230</v>
      </c>
      <c r="E10" s="20" t="s">
        <v>195</v>
      </c>
      <c r="F10" s="79">
        <f>37.5%/2</f>
        <v>0.1875</v>
      </c>
      <c r="G10" s="80">
        <v>12.0</v>
      </c>
      <c r="H10" s="81">
        <v>7300.0</v>
      </c>
      <c r="I10" s="82">
        <v>30.0</v>
      </c>
      <c r="J10" s="83">
        <f t="shared" si="1"/>
        <v>1231.875</v>
      </c>
      <c r="K10" s="84">
        <f t="shared" si="2"/>
        <v>14.7825</v>
      </c>
      <c r="L10" s="83">
        <f t="shared" si="6"/>
        <v>36956.25</v>
      </c>
      <c r="M10" s="84">
        <f t="shared" si="3"/>
        <v>443.475</v>
      </c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 ht="41.25" hidden="1" customHeight="1">
      <c r="A11" s="20" t="s">
        <v>33</v>
      </c>
      <c r="B11" s="20" t="s">
        <v>34</v>
      </c>
      <c r="C11" s="20" t="s">
        <v>229</v>
      </c>
      <c r="D11" s="20" t="s">
        <v>230</v>
      </c>
      <c r="E11" s="20" t="s">
        <v>194</v>
      </c>
      <c r="F11" s="79">
        <v>0.675</v>
      </c>
      <c r="G11" s="80">
        <v>10.0</v>
      </c>
      <c r="H11" s="81">
        <v>1800.0</v>
      </c>
      <c r="I11" s="81">
        <v>31.0</v>
      </c>
      <c r="J11" s="83">
        <f t="shared" si="1"/>
        <v>1336.5</v>
      </c>
      <c r="K11" s="84">
        <f t="shared" si="2"/>
        <v>13.365</v>
      </c>
      <c r="L11" s="83">
        <f>H11*F11*I11*1.1</f>
        <v>41431.5</v>
      </c>
      <c r="M11" s="84">
        <f t="shared" si="3"/>
        <v>414.315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ht="41.25" hidden="1" customHeight="1">
      <c r="A12" s="20" t="s">
        <v>33</v>
      </c>
      <c r="B12" s="20" t="s">
        <v>34</v>
      </c>
      <c r="C12" s="20" t="s">
        <v>231</v>
      </c>
      <c r="D12" s="20" t="s">
        <v>230</v>
      </c>
      <c r="E12" s="20" t="s">
        <v>194</v>
      </c>
      <c r="F12" s="79">
        <v>0.675</v>
      </c>
      <c r="G12" s="80">
        <v>10.0</v>
      </c>
      <c r="H12" s="81">
        <v>1800.0</v>
      </c>
      <c r="I12" s="81">
        <v>31.0</v>
      </c>
      <c r="J12" s="83">
        <f t="shared" si="1"/>
        <v>1093.5</v>
      </c>
      <c r="K12" s="84">
        <f t="shared" si="2"/>
        <v>10.935</v>
      </c>
      <c r="L12" s="83">
        <f t="shared" ref="L12:L13" si="7">H12*F12*I12*0.9</f>
        <v>33898.5</v>
      </c>
      <c r="M12" s="84">
        <f t="shared" si="3"/>
        <v>338.985</v>
      </c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ht="41.25" hidden="1" customHeight="1">
      <c r="A13" s="20" t="s">
        <v>33</v>
      </c>
      <c r="B13" s="20" t="s">
        <v>34</v>
      </c>
      <c r="C13" s="20" t="s">
        <v>232</v>
      </c>
      <c r="D13" s="20" t="s">
        <v>230</v>
      </c>
      <c r="E13" s="20" t="s">
        <v>194</v>
      </c>
      <c r="F13" s="79">
        <f>37.5%/2</f>
        <v>0.1875</v>
      </c>
      <c r="G13" s="80">
        <v>10.0</v>
      </c>
      <c r="H13" s="81">
        <v>1800.0</v>
      </c>
      <c r="I13" s="81">
        <v>31.0</v>
      </c>
      <c r="J13" s="83">
        <f t="shared" si="1"/>
        <v>303.75</v>
      </c>
      <c r="K13" s="84">
        <f t="shared" si="2"/>
        <v>3.0375</v>
      </c>
      <c r="L13" s="83">
        <f t="shared" si="7"/>
        <v>9416.25</v>
      </c>
      <c r="M13" s="84">
        <f t="shared" si="3"/>
        <v>94.1625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ht="41.25" customHeight="1">
      <c r="A14" s="20" t="s">
        <v>33</v>
      </c>
      <c r="B14" s="20" t="s">
        <v>34</v>
      </c>
      <c r="C14" s="20" t="s">
        <v>229</v>
      </c>
      <c r="D14" s="20" t="s">
        <v>230</v>
      </c>
      <c r="E14" s="20" t="s">
        <v>233</v>
      </c>
      <c r="F14" s="79">
        <v>0.375</v>
      </c>
      <c r="G14" s="80">
        <v>20.0</v>
      </c>
      <c r="H14" s="81">
        <v>4800.0</v>
      </c>
      <c r="I14" s="81">
        <v>31.0</v>
      </c>
      <c r="J14" s="83">
        <f t="shared" si="1"/>
        <v>1980</v>
      </c>
      <c r="K14" s="84">
        <f t="shared" si="2"/>
        <v>39.6</v>
      </c>
      <c r="L14" s="83">
        <f>H14*F14*I14*1.1</f>
        <v>61380</v>
      </c>
      <c r="M14" s="84">
        <f t="shared" si="3"/>
        <v>1227.6</v>
      </c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 ht="41.25" customHeight="1">
      <c r="A15" s="20" t="s">
        <v>33</v>
      </c>
      <c r="B15" s="20" t="s">
        <v>34</v>
      </c>
      <c r="C15" s="20" t="s">
        <v>231</v>
      </c>
      <c r="D15" s="20" t="s">
        <v>230</v>
      </c>
      <c r="E15" s="20" t="s">
        <v>233</v>
      </c>
      <c r="F15" s="79">
        <v>0.375</v>
      </c>
      <c r="G15" s="80">
        <v>20.0</v>
      </c>
      <c r="H15" s="81">
        <v>4800.0</v>
      </c>
      <c r="I15" s="81">
        <v>31.0</v>
      </c>
      <c r="J15" s="83">
        <f t="shared" si="1"/>
        <v>1620</v>
      </c>
      <c r="K15" s="84">
        <f t="shared" si="2"/>
        <v>32.4</v>
      </c>
      <c r="L15" s="83">
        <f t="shared" ref="L15:L16" si="8">H15*F15*I15*0.9</f>
        <v>50220</v>
      </c>
      <c r="M15" s="84">
        <f t="shared" si="3"/>
        <v>1004.4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 ht="41.25" customHeight="1">
      <c r="A16" s="20" t="s">
        <v>33</v>
      </c>
      <c r="B16" s="20" t="s">
        <v>34</v>
      </c>
      <c r="C16" s="20" t="s">
        <v>232</v>
      </c>
      <c r="D16" s="20" t="s">
        <v>230</v>
      </c>
      <c r="E16" s="20" t="s">
        <v>233</v>
      </c>
      <c r="F16" s="79">
        <f>37.5%/2</f>
        <v>0.1875</v>
      </c>
      <c r="G16" s="80">
        <v>20.0</v>
      </c>
      <c r="H16" s="81">
        <v>4800.0</v>
      </c>
      <c r="I16" s="81">
        <v>31.0</v>
      </c>
      <c r="J16" s="83">
        <f t="shared" si="1"/>
        <v>810</v>
      </c>
      <c r="K16" s="84">
        <f t="shared" si="2"/>
        <v>16.2</v>
      </c>
      <c r="L16" s="83">
        <f t="shared" si="8"/>
        <v>25110</v>
      </c>
      <c r="M16" s="84">
        <f t="shared" si="3"/>
        <v>502.2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 ht="41.25" hidden="1" customHeight="1">
      <c r="A17" s="20" t="s">
        <v>33</v>
      </c>
      <c r="B17" s="20" t="s">
        <v>34</v>
      </c>
      <c r="C17" s="20" t="s">
        <v>229</v>
      </c>
      <c r="D17" s="20" t="s">
        <v>230</v>
      </c>
      <c r="E17" s="20" t="s">
        <v>195</v>
      </c>
      <c r="F17" s="79">
        <v>0.0525</v>
      </c>
      <c r="G17" s="80">
        <v>12.0</v>
      </c>
      <c r="H17" s="81">
        <v>9300.0</v>
      </c>
      <c r="I17" s="81">
        <v>31.0</v>
      </c>
      <c r="J17" s="83">
        <f t="shared" si="1"/>
        <v>537.075</v>
      </c>
      <c r="K17" s="84">
        <f t="shared" si="2"/>
        <v>6.4449</v>
      </c>
      <c r="L17" s="83">
        <f>H17*F17*I17*1.1</f>
        <v>16649.325</v>
      </c>
      <c r="M17" s="84">
        <f t="shared" si="3"/>
        <v>199.7919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 ht="41.25" hidden="1" customHeight="1">
      <c r="A18" s="20" t="s">
        <v>33</v>
      </c>
      <c r="B18" s="20" t="s">
        <v>34</v>
      </c>
      <c r="C18" s="20" t="s">
        <v>231</v>
      </c>
      <c r="D18" s="20" t="s">
        <v>230</v>
      </c>
      <c r="E18" s="20" t="s">
        <v>195</v>
      </c>
      <c r="F18" s="79">
        <v>0.0525</v>
      </c>
      <c r="G18" s="80">
        <v>12.0</v>
      </c>
      <c r="H18" s="81">
        <v>9300.0</v>
      </c>
      <c r="I18" s="81">
        <v>31.0</v>
      </c>
      <c r="J18" s="83">
        <f t="shared" si="1"/>
        <v>439.425</v>
      </c>
      <c r="K18" s="84">
        <f t="shared" si="2"/>
        <v>5.2731</v>
      </c>
      <c r="L18" s="83">
        <f t="shared" ref="L18:L19" si="9">H18*F18*I18*0.9</f>
        <v>13622.175</v>
      </c>
      <c r="M18" s="84">
        <f t="shared" si="3"/>
        <v>163.4661</v>
      </c>
      <c r="N18" s="39"/>
      <c r="O18" s="39"/>
      <c r="P18" s="39"/>
      <c r="Q18" s="39"/>
      <c r="R18" s="39"/>
      <c r="S18" s="85"/>
      <c r="T18" s="86"/>
      <c r="U18" s="86"/>
      <c r="V18" s="86"/>
      <c r="W18" s="85"/>
      <c r="X18" s="39"/>
      <c r="Y18" s="39"/>
      <c r="Z18" s="39"/>
    </row>
    <row r="19" ht="41.25" hidden="1" customHeight="1">
      <c r="A19" s="20" t="s">
        <v>33</v>
      </c>
      <c r="B19" s="20" t="s">
        <v>34</v>
      </c>
      <c r="C19" s="20" t="s">
        <v>232</v>
      </c>
      <c r="D19" s="20" t="s">
        <v>230</v>
      </c>
      <c r="E19" s="20" t="s">
        <v>195</v>
      </c>
      <c r="F19" s="79">
        <f>37.5%/2</f>
        <v>0.1875</v>
      </c>
      <c r="G19" s="80">
        <v>12.0</v>
      </c>
      <c r="H19" s="81">
        <v>9300.0</v>
      </c>
      <c r="I19" s="81">
        <v>31.0</v>
      </c>
      <c r="J19" s="83">
        <f t="shared" si="1"/>
        <v>1569.375</v>
      </c>
      <c r="K19" s="84">
        <f t="shared" si="2"/>
        <v>18.8325</v>
      </c>
      <c r="L19" s="83">
        <f t="shared" si="9"/>
        <v>48650.625</v>
      </c>
      <c r="M19" s="84">
        <f t="shared" si="3"/>
        <v>583.8075</v>
      </c>
      <c r="N19" s="39"/>
      <c r="O19" s="39"/>
      <c r="P19" s="39"/>
      <c r="Q19" s="39"/>
      <c r="R19" s="39"/>
      <c r="S19" s="85"/>
      <c r="T19" s="86"/>
      <c r="U19" s="86"/>
      <c r="V19" s="86"/>
      <c r="W19" s="85"/>
      <c r="X19" s="39"/>
      <c r="Y19" s="39"/>
      <c r="Z19" s="39"/>
    </row>
    <row r="21" ht="15.75" customHeight="1"/>
    <row r="22" ht="15.75" customHeight="1"/>
    <row r="23" ht="15.75" customHeight="1"/>
    <row r="24" ht="15.75" customHeight="1"/>
    <row r="25" ht="15.75" customHeight="1">
      <c r="M25" s="87" t="s">
        <v>1</v>
      </c>
      <c r="N25" s="88" t="s">
        <v>234</v>
      </c>
      <c r="O25" s="88" t="s">
        <v>193</v>
      </c>
      <c r="P25" s="88" t="s">
        <v>194</v>
      </c>
    </row>
    <row r="26" ht="15.75" customHeight="1">
      <c r="M26" s="89" t="s">
        <v>235</v>
      </c>
      <c r="N26" s="90">
        <v>7290.0</v>
      </c>
      <c r="O26" s="91">
        <v>3348.0</v>
      </c>
      <c r="P26" s="91">
        <v>1078.0</v>
      </c>
    </row>
    <row r="27" ht="15.75" customHeight="1">
      <c r="M27" s="92" t="s">
        <v>236</v>
      </c>
      <c r="N27" s="90">
        <v>9274.0</v>
      </c>
      <c r="O27" s="90">
        <v>4822.0</v>
      </c>
      <c r="P27" s="90">
        <v>1835.0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9">
    <filterColumn colId="4">
      <filters>
        <filter val="Instagram Feed"/>
      </filters>
    </filterColumn>
  </autoFilter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8.43"/>
    <col customWidth="1" min="3" max="3" width="12.43"/>
  </cols>
  <sheetData>
    <row r="1"/>
    <row r="2"/>
    <row r="3"/>
    <row r="4"/>
    <row r="5"/>
    <row r="6"/>
    <row r="10">
      <c r="E10" s="93">
        <v>23655.0</v>
      </c>
    </row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10.29"/>
    <col customWidth="1" min="3" max="3" width="12.14"/>
    <col customWidth="1" min="4" max="4" width="16.86"/>
    <col customWidth="1" min="5" max="5" width="11.71"/>
    <col customWidth="1" min="6" max="6" width="17.43"/>
    <col customWidth="1" min="7" max="7" width="11.14"/>
    <col customWidth="1" min="8" max="8" width="16.57"/>
  </cols>
  <sheetData>
    <row r="1">
      <c r="A1" s="94" t="s">
        <v>0</v>
      </c>
      <c r="B1" s="94" t="s">
        <v>1</v>
      </c>
      <c r="C1" s="94" t="s">
        <v>241</v>
      </c>
      <c r="D1" s="94" t="s">
        <v>242</v>
      </c>
      <c r="E1" s="94" t="s">
        <v>243</v>
      </c>
      <c r="F1" s="94" t="s">
        <v>244</v>
      </c>
      <c r="G1" s="94" t="s">
        <v>30</v>
      </c>
      <c r="H1" s="94" t="s">
        <v>31</v>
      </c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5" t="s">
        <v>33</v>
      </c>
      <c r="B2" s="5" t="s">
        <v>34</v>
      </c>
      <c r="C2" s="9">
        <v>4528.728</v>
      </c>
      <c r="D2" s="7">
        <v>300378.375</v>
      </c>
      <c r="E2" s="9">
        <v>31788.770000000015</v>
      </c>
      <c r="F2" s="7">
        <v>1455917.0</v>
      </c>
      <c r="G2" s="9">
        <f t="shared" ref="G2:H2" si="1">SUM(E2,C2)</f>
        <v>36317.498</v>
      </c>
      <c r="H2" s="7">
        <f t="shared" si="1"/>
        <v>1756295.375</v>
      </c>
    </row>
    <row r="3">
      <c r="A3" s="5" t="s">
        <v>126</v>
      </c>
      <c r="B3" s="5" t="s">
        <v>34</v>
      </c>
      <c r="C3" s="9">
        <v>3039.7274999999995</v>
      </c>
      <c r="D3" s="7">
        <v>201026.25</v>
      </c>
      <c r="E3" s="9">
        <v>4693.110000000002</v>
      </c>
      <c r="F3" s="7">
        <v>312315.0</v>
      </c>
      <c r="G3" s="9">
        <f t="shared" ref="G3:H3" si="2">SUM(E3,C3)</f>
        <v>7732.8375</v>
      </c>
      <c r="H3" s="7">
        <f t="shared" si="2"/>
        <v>513341.25</v>
      </c>
    </row>
    <row r="4">
      <c r="A4" s="96" t="s">
        <v>245</v>
      </c>
      <c r="B4" s="97"/>
      <c r="C4" s="98">
        <f t="shared" ref="C4:F4" si="3">SUM(C2:C3)</f>
        <v>7568.4555</v>
      </c>
      <c r="D4" s="99">
        <f t="shared" si="3"/>
        <v>501404.625</v>
      </c>
      <c r="E4" s="98">
        <f t="shared" si="3"/>
        <v>36481.88</v>
      </c>
      <c r="F4" s="99">
        <f t="shared" si="3"/>
        <v>1768232</v>
      </c>
      <c r="G4" s="98">
        <f t="shared" ref="G4:H4" si="4">SUM(E4,C4)</f>
        <v>44050.3355</v>
      </c>
      <c r="H4" s="99">
        <f t="shared" si="4"/>
        <v>2269636.625</v>
      </c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6">
      <c r="I6" s="9">
        <f>G4*1.1</f>
        <v>48455.36905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</v>
      </c>
      <c r="B1" s="5" t="s">
        <v>246</v>
      </c>
      <c r="C1" s="5" t="s">
        <v>247</v>
      </c>
      <c r="D1" s="5" t="s">
        <v>248</v>
      </c>
      <c r="E1" s="5" t="s">
        <v>249</v>
      </c>
      <c r="F1" s="5" t="s">
        <v>250</v>
      </c>
      <c r="G1" s="5" t="s">
        <v>251</v>
      </c>
      <c r="I1" s="5" t="s">
        <v>252</v>
      </c>
    </row>
    <row r="2">
      <c r="A2" s="5" t="s">
        <v>34</v>
      </c>
      <c r="B2" s="5">
        <f>120*60</f>
        <v>7200</v>
      </c>
      <c r="C2" s="5">
        <v>0.65</v>
      </c>
      <c r="D2" s="5">
        <v>10.0</v>
      </c>
      <c r="E2" s="5">
        <v>0.06</v>
      </c>
      <c r="F2" s="5">
        <f t="shared" ref="F2:F9" si="1">B2*E2</f>
        <v>432</v>
      </c>
      <c r="G2" s="5" t="s">
        <v>253</v>
      </c>
      <c r="I2" s="5" t="s">
        <v>254</v>
      </c>
    </row>
    <row r="3">
      <c r="A3" s="5" t="s">
        <v>255</v>
      </c>
      <c r="B3" s="5">
        <f>202*60</f>
        <v>12120</v>
      </c>
      <c r="C3" s="5">
        <v>0.55</v>
      </c>
      <c r="D3" s="5">
        <v>8.0</v>
      </c>
      <c r="E3" s="5">
        <v>0.035</v>
      </c>
      <c r="F3" s="5">
        <f t="shared" si="1"/>
        <v>424.2</v>
      </c>
      <c r="G3" s="5" t="s">
        <v>256</v>
      </c>
      <c r="I3" s="5" t="s">
        <v>257</v>
      </c>
    </row>
    <row r="4">
      <c r="A4" s="5" t="s">
        <v>258</v>
      </c>
      <c r="B4" s="5">
        <f>120*60</f>
        <v>7200</v>
      </c>
      <c r="C4" s="5">
        <v>0.85</v>
      </c>
      <c r="D4" s="5">
        <v>12.0</v>
      </c>
      <c r="E4" s="5">
        <v>0.075</v>
      </c>
      <c r="F4" s="5">
        <f t="shared" si="1"/>
        <v>540</v>
      </c>
      <c r="G4" s="5" t="s">
        <v>259</v>
      </c>
      <c r="I4" s="5" t="s">
        <v>260</v>
      </c>
    </row>
    <row r="5">
      <c r="A5" s="5" t="s">
        <v>261</v>
      </c>
      <c r="B5" s="5">
        <f>180*60</f>
        <v>10800</v>
      </c>
      <c r="C5" s="5">
        <v>0.6</v>
      </c>
      <c r="D5" s="5">
        <v>7.0</v>
      </c>
      <c r="E5" s="5">
        <v>0.07</v>
      </c>
      <c r="F5" s="5">
        <f t="shared" si="1"/>
        <v>756</v>
      </c>
      <c r="G5" s="5" t="s">
        <v>262</v>
      </c>
      <c r="I5" s="5" t="s">
        <v>263</v>
      </c>
    </row>
    <row r="6">
      <c r="A6" s="5" t="s">
        <v>264</v>
      </c>
      <c r="B6" s="5">
        <f t="shared" ref="B6:B7" si="2">120*60</f>
        <v>7200</v>
      </c>
      <c r="C6" s="5">
        <v>0.65</v>
      </c>
      <c r="D6" s="5">
        <v>8.0</v>
      </c>
      <c r="E6" s="5">
        <v>0.065</v>
      </c>
      <c r="F6" s="5">
        <f t="shared" si="1"/>
        <v>468</v>
      </c>
      <c r="G6" s="5" t="s">
        <v>262</v>
      </c>
      <c r="I6" s="5" t="s">
        <v>265</v>
      </c>
    </row>
    <row r="7">
      <c r="A7" s="5" t="s">
        <v>266</v>
      </c>
      <c r="B7" s="5">
        <f t="shared" si="2"/>
        <v>7200</v>
      </c>
      <c r="C7" s="5">
        <v>0.72</v>
      </c>
      <c r="D7" s="5">
        <v>9.0</v>
      </c>
      <c r="E7" s="5">
        <v>0.05</v>
      </c>
      <c r="F7" s="5">
        <f t="shared" si="1"/>
        <v>360</v>
      </c>
      <c r="G7" s="5" t="s">
        <v>267</v>
      </c>
      <c r="I7" s="5" t="s">
        <v>268</v>
      </c>
    </row>
    <row r="8">
      <c r="A8" s="5" t="s">
        <v>269</v>
      </c>
      <c r="B8" s="5">
        <f t="shared" ref="B8:B9" si="3">150*60</f>
        <v>9000</v>
      </c>
      <c r="C8" s="5">
        <v>0.5</v>
      </c>
      <c r="D8" s="5">
        <v>6.0</v>
      </c>
      <c r="E8" s="5">
        <v>0.02</v>
      </c>
      <c r="F8" s="5">
        <f t="shared" si="1"/>
        <v>180</v>
      </c>
      <c r="G8" s="5" t="s">
        <v>270</v>
      </c>
      <c r="I8" s="5" t="s">
        <v>271</v>
      </c>
    </row>
    <row r="9">
      <c r="A9" s="5" t="s">
        <v>272</v>
      </c>
      <c r="B9" s="5">
        <f t="shared" si="3"/>
        <v>9000</v>
      </c>
      <c r="C9" s="5">
        <v>0.5</v>
      </c>
      <c r="D9" s="5">
        <v>5.0</v>
      </c>
      <c r="E9" s="5">
        <v>0.02</v>
      </c>
      <c r="F9" s="5">
        <f t="shared" si="1"/>
        <v>180</v>
      </c>
    </row>
    <row r="12">
      <c r="A12" s="5" t="s">
        <v>11</v>
      </c>
      <c r="B12" s="5" t="s">
        <v>273</v>
      </c>
      <c r="C12" s="5" t="s">
        <v>12</v>
      </c>
      <c r="D12" s="5" t="s">
        <v>274</v>
      </c>
      <c r="E12" s="5" t="s">
        <v>275</v>
      </c>
      <c r="G12" s="5" t="s">
        <v>32</v>
      </c>
      <c r="H12" s="5" t="s">
        <v>276</v>
      </c>
      <c r="J12" s="5" t="s">
        <v>277</v>
      </c>
    </row>
    <row r="13">
      <c r="A13" s="5" t="s">
        <v>278</v>
      </c>
      <c r="B13" s="5">
        <v>5.2E7</v>
      </c>
      <c r="C13" s="5" t="s">
        <v>52</v>
      </c>
      <c r="D13" s="5">
        <v>0.5</v>
      </c>
      <c r="E13" s="5" t="s">
        <v>279</v>
      </c>
      <c r="G13" s="5">
        <v>16.0</v>
      </c>
      <c r="H13" s="5" t="s">
        <v>280</v>
      </c>
    </row>
    <row r="14">
      <c r="A14" s="5" t="s">
        <v>281</v>
      </c>
      <c r="B14" s="5">
        <v>3000000.0</v>
      </c>
      <c r="C14" s="5" t="s">
        <v>43</v>
      </c>
      <c r="D14" s="5">
        <v>0.35</v>
      </c>
      <c r="E14" s="5" t="s">
        <v>282</v>
      </c>
      <c r="G14" s="5">
        <v>12.0</v>
      </c>
      <c r="H14" s="5" t="s">
        <v>283</v>
      </c>
    </row>
    <row r="15">
      <c r="A15" s="5" t="s">
        <v>284</v>
      </c>
      <c r="B15" s="5">
        <v>8.8E7</v>
      </c>
      <c r="C15" s="5" t="s">
        <v>52</v>
      </c>
      <c r="D15" s="5">
        <v>0.5</v>
      </c>
      <c r="E15" s="5" t="s">
        <v>285</v>
      </c>
      <c r="G15" s="5">
        <v>35.0</v>
      </c>
      <c r="H15" s="5" t="s">
        <v>286</v>
      </c>
    </row>
    <row r="16">
      <c r="A16" s="5" t="s">
        <v>287</v>
      </c>
      <c r="B16" s="5">
        <v>8.8E7</v>
      </c>
      <c r="C16" s="5" t="s">
        <v>52</v>
      </c>
      <c r="D16" s="5">
        <v>0.5</v>
      </c>
      <c r="E16" s="5" t="s">
        <v>288</v>
      </c>
      <c r="G16" s="5">
        <v>40.0</v>
      </c>
      <c r="H16" s="5" t="s">
        <v>289</v>
      </c>
    </row>
    <row r="17">
      <c r="A17" s="5" t="s">
        <v>290</v>
      </c>
      <c r="B17" s="5">
        <v>4.7E7</v>
      </c>
      <c r="C17" s="5" t="s">
        <v>52</v>
      </c>
      <c r="D17" s="5">
        <v>0.35</v>
      </c>
      <c r="E17" s="5" t="s">
        <v>291</v>
      </c>
      <c r="G17" s="5">
        <v>20.0</v>
      </c>
      <c r="H17" s="5" t="s">
        <v>292</v>
      </c>
    </row>
    <row r="18">
      <c r="A18" s="5" t="s">
        <v>293</v>
      </c>
      <c r="B18" s="5">
        <v>7.4E7</v>
      </c>
      <c r="C18" s="5" t="s">
        <v>52</v>
      </c>
      <c r="D18" s="5">
        <v>0.5</v>
      </c>
      <c r="E18" s="5" t="s">
        <v>294</v>
      </c>
      <c r="G18" s="5">
        <v>32.0</v>
      </c>
      <c r="H18" s="5" t="s">
        <v>295</v>
      </c>
    </row>
    <row r="19">
      <c r="A19" s="5" t="s">
        <v>42</v>
      </c>
      <c r="B19" s="5">
        <v>2.5E7</v>
      </c>
      <c r="C19" s="5" t="s">
        <v>43</v>
      </c>
      <c r="D19" s="5">
        <v>0.4</v>
      </c>
      <c r="E19" s="5" t="s">
        <v>296</v>
      </c>
      <c r="G19" s="5">
        <v>18.0</v>
      </c>
      <c r="H19" s="5" t="s">
        <v>297</v>
      </c>
    </row>
    <row r="20">
      <c r="A20" s="5" t="s">
        <v>298</v>
      </c>
      <c r="B20" s="5">
        <v>7.0E7</v>
      </c>
      <c r="C20" s="5" t="s">
        <v>52</v>
      </c>
      <c r="D20" s="5">
        <v>0.45</v>
      </c>
      <c r="E20" s="5" t="s">
        <v>299</v>
      </c>
      <c r="G20" s="5">
        <v>24.0</v>
      </c>
      <c r="H20" s="5" t="s">
        <v>300</v>
      </c>
    </row>
    <row r="21" ht="15.75" customHeight="1">
      <c r="A21" s="5" t="s">
        <v>301</v>
      </c>
      <c r="B21" s="5">
        <v>3.6E7</v>
      </c>
      <c r="C21" s="5" t="s">
        <v>52</v>
      </c>
      <c r="D21" s="5">
        <v>0.4</v>
      </c>
      <c r="E21" s="5" t="s">
        <v>302</v>
      </c>
      <c r="G21" s="5">
        <v>20.0</v>
      </c>
      <c r="H21" s="5" t="s">
        <v>303</v>
      </c>
    </row>
    <row r="22" ht="15.75" customHeight="1">
      <c r="A22" s="5" t="s">
        <v>203</v>
      </c>
      <c r="B22" s="5">
        <v>1500000.0</v>
      </c>
      <c r="C22" s="5" t="s">
        <v>43</v>
      </c>
      <c r="D22" s="5">
        <v>0.35</v>
      </c>
      <c r="E22" s="5" t="s">
        <v>304</v>
      </c>
      <c r="G22" s="5">
        <v>15.0</v>
      </c>
      <c r="H22" s="5" t="s">
        <v>305</v>
      </c>
    </row>
    <row r="23" ht="15.75" customHeight="1">
      <c r="A23" s="5" t="s">
        <v>306</v>
      </c>
      <c r="B23" s="5">
        <v>8.8E7</v>
      </c>
      <c r="C23" s="5" t="s">
        <v>52</v>
      </c>
      <c r="D23" s="5">
        <v>0.5</v>
      </c>
      <c r="E23" s="5" t="s">
        <v>307</v>
      </c>
      <c r="G23" s="5">
        <v>36.0</v>
      </c>
      <c r="H23" s="5" t="s">
        <v>308</v>
      </c>
    </row>
    <row r="24" ht="15.75" customHeight="1">
      <c r="A24" s="5" t="s">
        <v>309</v>
      </c>
      <c r="B24" s="5">
        <v>8.8E7</v>
      </c>
      <c r="C24" s="5" t="s">
        <v>52</v>
      </c>
      <c r="D24" s="5">
        <v>0.5</v>
      </c>
      <c r="E24" s="5" t="s">
        <v>310</v>
      </c>
      <c r="G24" s="5">
        <v>40.0</v>
      </c>
      <c r="H24" s="5" t="s">
        <v>311</v>
      </c>
    </row>
    <row r="25" ht="15.75" customHeight="1">
      <c r="A25" s="5" t="s">
        <v>51</v>
      </c>
      <c r="B25" s="5">
        <v>7.2E7</v>
      </c>
      <c r="C25" s="5" t="s">
        <v>52</v>
      </c>
      <c r="D25" s="5">
        <v>0.5</v>
      </c>
      <c r="E25" s="5" t="s">
        <v>312</v>
      </c>
      <c r="G25" s="5">
        <v>28.0</v>
      </c>
      <c r="H25" s="5" t="s">
        <v>313</v>
      </c>
    </row>
    <row r="26" ht="15.75" customHeight="1">
      <c r="A26" s="5" t="s">
        <v>314</v>
      </c>
      <c r="B26" s="5">
        <v>25000.0</v>
      </c>
      <c r="C26" s="5" t="s">
        <v>43</v>
      </c>
      <c r="D26" s="5">
        <v>0.35</v>
      </c>
      <c r="E26" s="5" t="s">
        <v>315</v>
      </c>
      <c r="G26" s="5">
        <v>8.0</v>
      </c>
      <c r="H26" s="5" t="s">
        <v>316</v>
      </c>
    </row>
    <row r="27" ht="15.75" customHeight="1">
      <c r="A27" s="5" t="s">
        <v>317</v>
      </c>
      <c r="B27" s="5">
        <v>85000.0</v>
      </c>
      <c r="C27" s="5" t="s">
        <v>43</v>
      </c>
      <c r="D27" s="5">
        <v>0.35</v>
      </c>
      <c r="E27" s="5" t="s">
        <v>318</v>
      </c>
      <c r="G27" s="5">
        <v>12.0</v>
      </c>
      <c r="H27" s="5" t="s">
        <v>319</v>
      </c>
    </row>
    <row r="28" ht="15.75" customHeight="1">
      <c r="A28" s="5" t="s">
        <v>320</v>
      </c>
      <c r="B28" s="5">
        <v>50000.0</v>
      </c>
      <c r="C28" s="5" t="s">
        <v>43</v>
      </c>
      <c r="D28" s="5">
        <v>0.35</v>
      </c>
      <c r="E28" s="5" t="s">
        <v>321</v>
      </c>
      <c r="G28" s="5">
        <v>8.0</v>
      </c>
      <c r="H28" s="5" t="s">
        <v>322</v>
      </c>
    </row>
    <row r="29" ht="15.75" customHeight="1">
      <c r="A29" s="5" t="s">
        <v>323</v>
      </c>
      <c r="B29" s="5">
        <v>3.2E7</v>
      </c>
      <c r="C29" s="5" t="s">
        <v>43</v>
      </c>
      <c r="D29" s="5">
        <v>0.35</v>
      </c>
      <c r="E29" s="5" t="s">
        <v>324</v>
      </c>
      <c r="G29" s="5">
        <v>22.0</v>
      </c>
      <c r="H29" s="5" t="s">
        <v>325</v>
      </c>
    </row>
    <row r="30" ht="15.75" customHeight="1">
      <c r="A30" s="5" t="s">
        <v>326</v>
      </c>
      <c r="B30" s="5">
        <v>8.0E7</v>
      </c>
      <c r="C30" s="5" t="s">
        <v>52</v>
      </c>
      <c r="D30" s="5">
        <v>0.5</v>
      </c>
      <c r="E30" s="5" t="s">
        <v>327</v>
      </c>
      <c r="G30" s="5">
        <v>28.0</v>
      </c>
      <c r="H30" s="5" t="s">
        <v>328</v>
      </c>
    </row>
    <row r="31" ht="15.75" customHeight="1">
      <c r="A31" s="5" t="s">
        <v>329</v>
      </c>
      <c r="B31" s="5">
        <v>7.0E7</v>
      </c>
      <c r="C31" s="5" t="s">
        <v>52</v>
      </c>
      <c r="D31" s="5">
        <v>0.5</v>
      </c>
      <c r="E31" s="5" t="s">
        <v>330</v>
      </c>
      <c r="G31" s="5">
        <v>30.0</v>
      </c>
      <c r="H31" s="5" t="s">
        <v>331</v>
      </c>
    </row>
    <row r="32" ht="15.75" customHeight="1">
      <c r="A32" s="5" t="s">
        <v>332</v>
      </c>
      <c r="B32" s="5">
        <v>7.2E7</v>
      </c>
      <c r="C32" s="5" t="s">
        <v>52</v>
      </c>
      <c r="D32" s="5">
        <v>0.5</v>
      </c>
      <c r="E32" s="5" t="s">
        <v>333</v>
      </c>
      <c r="G32" s="5">
        <v>18.0</v>
      </c>
      <c r="H32" s="5" t="s">
        <v>334</v>
      </c>
    </row>
    <row r="33" ht="15.75" customHeight="1">
      <c r="A33" s="5" t="s">
        <v>290</v>
      </c>
      <c r="C33" s="5" t="s">
        <v>52</v>
      </c>
      <c r="D33" s="5">
        <v>0.42</v>
      </c>
      <c r="G33" s="5">
        <v>20.0</v>
      </c>
    </row>
    <row r="34" ht="15.75" customHeight="1">
      <c r="A34" s="5" t="s">
        <v>335</v>
      </c>
      <c r="C34" s="5" t="s">
        <v>336</v>
      </c>
      <c r="D34" s="5">
        <v>0.4</v>
      </c>
      <c r="G34" s="5">
        <v>16.0</v>
      </c>
    </row>
    <row r="35" ht="15.75" customHeight="1">
      <c r="A35" s="5" t="s">
        <v>337</v>
      </c>
      <c r="C35" s="5" t="s">
        <v>43</v>
      </c>
      <c r="D35" s="5">
        <v>0.4</v>
      </c>
      <c r="E35" s="5" t="s">
        <v>296</v>
      </c>
      <c r="G35" s="5">
        <v>18.0</v>
      </c>
      <c r="H35" s="5" t="s">
        <v>297</v>
      </c>
    </row>
    <row r="36" ht="15.75" customHeight="1">
      <c r="A36" s="5" t="s">
        <v>338</v>
      </c>
      <c r="C36" s="5" t="s">
        <v>43</v>
      </c>
      <c r="D36" s="5">
        <v>0.35</v>
      </c>
      <c r="E36" s="5" t="s">
        <v>321</v>
      </c>
      <c r="G36" s="5">
        <v>8.0</v>
      </c>
      <c r="H36" s="5" t="s">
        <v>322</v>
      </c>
    </row>
    <row r="37" ht="15.75" customHeight="1">
      <c r="A37" s="5" t="s">
        <v>339</v>
      </c>
      <c r="C37" s="5" t="s">
        <v>43</v>
      </c>
      <c r="D37" s="5">
        <v>0.35</v>
      </c>
      <c r="G37" s="5">
        <v>12.0</v>
      </c>
    </row>
    <row r="38" ht="15.75" customHeight="1">
      <c r="A38" s="5" t="s">
        <v>340</v>
      </c>
      <c r="C38" s="5" t="s">
        <v>43</v>
      </c>
      <c r="D38" s="5">
        <v>0.35</v>
      </c>
      <c r="E38" s="5" t="s">
        <v>321</v>
      </c>
      <c r="G38" s="5">
        <v>8.0</v>
      </c>
      <c r="H38" s="5" t="s">
        <v>322</v>
      </c>
    </row>
    <row r="39" ht="15.75" customHeight="1">
      <c r="A39" s="5" t="s">
        <v>341</v>
      </c>
      <c r="C39" s="5" t="s">
        <v>43</v>
      </c>
      <c r="D39" s="5">
        <v>0.4</v>
      </c>
      <c r="E39" s="5" t="s">
        <v>296</v>
      </c>
      <c r="G39" s="5">
        <v>18.0</v>
      </c>
      <c r="H39" s="5" t="s">
        <v>297</v>
      </c>
    </row>
    <row r="40" ht="15.75" customHeight="1">
      <c r="A40" s="5" t="s">
        <v>342</v>
      </c>
      <c r="C40" s="5" t="s">
        <v>52</v>
      </c>
      <c r="D40" s="5">
        <v>0.5</v>
      </c>
      <c r="E40" s="5" t="s">
        <v>312</v>
      </c>
      <c r="G40" s="5">
        <v>28.0</v>
      </c>
      <c r="H40" s="5" t="s">
        <v>313</v>
      </c>
    </row>
    <row r="41" ht="15.75" customHeight="1">
      <c r="A41" s="5" t="s">
        <v>343</v>
      </c>
      <c r="C41" s="5" t="s">
        <v>336</v>
      </c>
      <c r="D41" s="5">
        <v>0.4</v>
      </c>
      <c r="G41" s="5">
        <v>16.0</v>
      </c>
    </row>
    <row r="42" ht="15.75" customHeight="1">
      <c r="A42" s="5" t="s">
        <v>344</v>
      </c>
      <c r="C42" s="5" t="s">
        <v>336</v>
      </c>
      <c r="D42" s="5">
        <v>0.4</v>
      </c>
      <c r="G42" s="5">
        <v>16.0</v>
      </c>
    </row>
    <row r="43" ht="15.75" customHeight="1">
      <c r="A43" s="5" t="s">
        <v>345</v>
      </c>
      <c r="C43" s="5" t="s">
        <v>52</v>
      </c>
      <c r="D43" s="5">
        <v>0.5</v>
      </c>
      <c r="E43" s="5" t="s">
        <v>279</v>
      </c>
      <c r="G43" s="5">
        <v>16.0</v>
      </c>
      <c r="H43" s="5" t="s">
        <v>280</v>
      </c>
    </row>
    <row r="44" ht="15.75" customHeight="1">
      <c r="A44" s="5" t="s">
        <v>346</v>
      </c>
      <c r="C44" s="5" t="s">
        <v>43</v>
      </c>
      <c r="D44" s="5">
        <v>0.4</v>
      </c>
      <c r="E44" s="5" t="s">
        <v>296</v>
      </c>
      <c r="G44" s="5">
        <v>18.0</v>
      </c>
      <c r="H44" s="5" t="s">
        <v>297</v>
      </c>
    </row>
    <row r="45" ht="15.75" customHeight="1">
      <c r="A45" s="5" t="s">
        <v>347</v>
      </c>
      <c r="D45" s="5">
        <v>0.35</v>
      </c>
      <c r="E45" s="5" t="s">
        <v>282</v>
      </c>
      <c r="G45" s="5">
        <v>12.0</v>
      </c>
    </row>
    <row r="46" ht="15.75" customHeight="1">
      <c r="A46" s="5" t="s">
        <v>348</v>
      </c>
      <c r="C46" s="5" t="s">
        <v>336</v>
      </c>
      <c r="D46" s="5">
        <v>0.4</v>
      </c>
      <c r="G46" s="5">
        <v>16.0</v>
      </c>
    </row>
    <row r="47" ht="15.75" customHeight="1">
      <c r="A47" s="5" t="s">
        <v>349</v>
      </c>
      <c r="C47" s="5" t="s">
        <v>336</v>
      </c>
      <c r="D47" s="5">
        <v>0.4</v>
      </c>
      <c r="G47" s="5">
        <v>16.0</v>
      </c>
    </row>
    <row r="48" ht="15.75" customHeight="1">
      <c r="A48" s="5" t="s">
        <v>350</v>
      </c>
      <c r="B48" s="5">
        <v>9000000.0</v>
      </c>
      <c r="C48" s="5" t="s">
        <v>336</v>
      </c>
      <c r="D48" s="5">
        <v>0.4</v>
      </c>
      <c r="G48" s="5">
        <v>16.0</v>
      </c>
    </row>
    <row r="49" ht="15.75" customHeight="1">
      <c r="A49" s="5" t="s">
        <v>351</v>
      </c>
      <c r="B49" s="5">
        <v>4000000.0</v>
      </c>
      <c r="C49" s="5" t="s">
        <v>336</v>
      </c>
      <c r="D49" s="5">
        <v>0.4</v>
      </c>
      <c r="G49" s="5">
        <v>16.0</v>
      </c>
    </row>
    <row r="50" ht="15.75" customHeight="1">
      <c r="A50" s="5" t="s">
        <v>352</v>
      </c>
      <c r="B50" s="5">
        <v>4000000.0</v>
      </c>
      <c r="C50" s="5" t="s">
        <v>336</v>
      </c>
      <c r="D50" s="5">
        <v>0.4</v>
      </c>
      <c r="G50" s="5">
        <v>16.0</v>
      </c>
    </row>
    <row r="51" ht="15.75" customHeight="1">
      <c r="A51" s="5" t="s">
        <v>353</v>
      </c>
      <c r="C51" s="5" t="s">
        <v>336</v>
      </c>
      <c r="D51" s="5">
        <v>0.4</v>
      </c>
      <c r="G51" s="5">
        <v>16.0</v>
      </c>
    </row>
    <row r="52" ht="15.75" customHeight="1">
      <c r="A52" s="5" t="s">
        <v>354</v>
      </c>
      <c r="B52" s="5">
        <v>3000000.0</v>
      </c>
      <c r="C52" s="5" t="s">
        <v>336</v>
      </c>
      <c r="D52" s="5">
        <v>0.4</v>
      </c>
      <c r="G52" s="5">
        <v>16.0</v>
      </c>
    </row>
    <row r="53" ht="15.75" customHeight="1">
      <c r="A53" s="5" t="s">
        <v>355</v>
      </c>
      <c r="B53" s="5">
        <v>2000000.0</v>
      </c>
      <c r="C53" s="5" t="s">
        <v>336</v>
      </c>
      <c r="D53" s="5">
        <v>0.4</v>
      </c>
      <c r="G53" s="5">
        <v>16.0</v>
      </c>
    </row>
    <row r="54" ht="15.75" customHeight="1">
      <c r="A54" s="5" t="s">
        <v>356</v>
      </c>
      <c r="B54" s="5">
        <v>6000000.0</v>
      </c>
      <c r="C54" s="5" t="s">
        <v>336</v>
      </c>
      <c r="D54" s="5">
        <v>0.4</v>
      </c>
      <c r="G54" s="5">
        <v>16.0</v>
      </c>
    </row>
    <row r="55" ht="15.75" customHeight="1">
      <c r="A55" s="5" t="s">
        <v>357</v>
      </c>
      <c r="B55" s="5">
        <v>1000000.0</v>
      </c>
      <c r="C55" s="5" t="s">
        <v>336</v>
      </c>
      <c r="D55" s="5">
        <v>0.4</v>
      </c>
      <c r="G55" s="5">
        <v>16.0</v>
      </c>
    </row>
    <row r="56" ht="15.75" customHeight="1">
      <c r="A56" s="5" t="s">
        <v>358</v>
      </c>
      <c r="B56" s="5">
        <v>2000000.0</v>
      </c>
      <c r="C56" s="5" t="s">
        <v>336</v>
      </c>
      <c r="D56" s="5">
        <v>0.4</v>
      </c>
      <c r="G56" s="5">
        <v>16.0</v>
      </c>
    </row>
    <row r="57" ht="15.75" customHeight="1">
      <c r="A57" s="5" t="s">
        <v>359</v>
      </c>
      <c r="B57" s="5">
        <v>3000000.0</v>
      </c>
      <c r="C57" s="5" t="s">
        <v>336</v>
      </c>
      <c r="D57" s="5">
        <v>0.4</v>
      </c>
      <c r="G57" s="5">
        <v>16.0</v>
      </c>
    </row>
    <row r="58" ht="15.75" customHeight="1">
      <c r="A58" s="5" t="s">
        <v>360</v>
      </c>
      <c r="B58" s="5">
        <v>500000.0</v>
      </c>
      <c r="C58" s="5" t="s">
        <v>336</v>
      </c>
      <c r="D58" s="5">
        <v>0.4</v>
      </c>
      <c r="G58" s="5">
        <v>16.0</v>
      </c>
    </row>
    <row r="59" ht="15.75" customHeight="1">
      <c r="A59" s="5" t="s">
        <v>361</v>
      </c>
      <c r="B59" s="5">
        <v>1000000.0</v>
      </c>
      <c r="C59" s="5" t="s">
        <v>336</v>
      </c>
      <c r="D59" s="5">
        <v>0.4</v>
      </c>
      <c r="G59" s="5">
        <v>16.0</v>
      </c>
    </row>
    <row r="60" ht="15.75" customHeight="1">
      <c r="A60" s="5" t="s">
        <v>362</v>
      </c>
      <c r="B60" s="5">
        <v>1000000.0</v>
      </c>
      <c r="C60" s="5" t="s">
        <v>336</v>
      </c>
      <c r="D60" s="5">
        <v>0.4</v>
      </c>
      <c r="G60" s="5">
        <v>16.0</v>
      </c>
    </row>
    <row r="61" ht="15.75" customHeight="1">
      <c r="A61" s="5" t="s">
        <v>363</v>
      </c>
      <c r="B61" s="5">
        <v>500000.0</v>
      </c>
      <c r="C61" s="5" t="s">
        <v>336</v>
      </c>
      <c r="D61" s="5">
        <v>0.4</v>
      </c>
      <c r="G61" s="5">
        <v>16.0</v>
      </c>
    </row>
    <row r="62" ht="15.75" customHeight="1">
      <c r="A62" s="5" t="s">
        <v>364</v>
      </c>
      <c r="B62" s="5">
        <v>1000000.0</v>
      </c>
      <c r="C62" s="5" t="s">
        <v>336</v>
      </c>
      <c r="D62" s="5">
        <v>0.4</v>
      </c>
      <c r="G62" s="5">
        <v>16.0</v>
      </c>
    </row>
    <row r="63" ht="15.75" customHeight="1">
      <c r="A63" s="5" t="s">
        <v>365</v>
      </c>
      <c r="B63" s="5">
        <v>2000000.0</v>
      </c>
      <c r="C63" s="5" t="s">
        <v>336</v>
      </c>
      <c r="D63" s="5">
        <v>0.4</v>
      </c>
      <c r="G63" s="5">
        <v>16.0</v>
      </c>
    </row>
    <row r="64" ht="15.75" customHeight="1">
      <c r="A64" s="5" t="s">
        <v>366</v>
      </c>
      <c r="B64" s="5">
        <v>3000000.0</v>
      </c>
      <c r="C64" s="5" t="s">
        <v>336</v>
      </c>
      <c r="D64" s="5">
        <v>0.4</v>
      </c>
      <c r="G64" s="5">
        <v>16.0</v>
      </c>
    </row>
    <row r="65" ht="15.75" customHeight="1">
      <c r="A65" s="5" t="s">
        <v>367</v>
      </c>
      <c r="B65" s="5">
        <v>3000000.0</v>
      </c>
      <c r="C65" s="5" t="s">
        <v>336</v>
      </c>
      <c r="D65" s="5">
        <v>0.4</v>
      </c>
      <c r="G65" s="5">
        <v>16.0</v>
      </c>
    </row>
    <row r="66" ht="15.75" customHeight="1">
      <c r="A66" s="5" t="s">
        <v>368</v>
      </c>
      <c r="B66" s="5">
        <v>2000000.0</v>
      </c>
      <c r="C66" s="5" t="s">
        <v>336</v>
      </c>
      <c r="D66" s="5">
        <v>0.4</v>
      </c>
      <c r="G66" s="5">
        <v>16.0</v>
      </c>
    </row>
    <row r="67" ht="15.75" customHeight="1">
      <c r="A67" s="5" t="s">
        <v>369</v>
      </c>
      <c r="C67" s="5" t="s">
        <v>336</v>
      </c>
      <c r="D67" s="5">
        <v>0.4</v>
      </c>
      <c r="G67" s="5">
        <v>16.0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>
      <c r="A74" s="5" t="s">
        <v>1</v>
      </c>
      <c r="B74" s="5" t="s">
        <v>370</v>
      </c>
      <c r="C74" s="5" t="s">
        <v>177</v>
      </c>
    </row>
    <row r="75" ht="15.75" customHeight="1">
      <c r="A75" s="5" t="s">
        <v>371</v>
      </c>
      <c r="B75" s="5">
        <v>0.55</v>
      </c>
      <c r="C75" s="5" t="s">
        <v>372</v>
      </c>
    </row>
    <row r="76" ht="15.75" customHeight="1">
      <c r="A76" s="5" t="s">
        <v>373</v>
      </c>
      <c r="B76" s="5">
        <v>0.55</v>
      </c>
      <c r="C76" s="5" t="s">
        <v>374</v>
      </c>
    </row>
    <row r="77" ht="15.75" customHeight="1">
      <c r="A77" s="5" t="s">
        <v>255</v>
      </c>
      <c r="B77" s="5">
        <v>0.5</v>
      </c>
      <c r="C77" s="5" t="s">
        <v>375</v>
      </c>
    </row>
    <row r="78" ht="15.75" customHeight="1">
      <c r="A78" s="5" t="s">
        <v>261</v>
      </c>
      <c r="B78" s="5">
        <v>0.45</v>
      </c>
      <c r="C78" s="5" t="s">
        <v>376</v>
      </c>
    </row>
    <row r="79" ht="15.75" customHeight="1">
      <c r="A79" s="5" t="s">
        <v>264</v>
      </c>
      <c r="B79" s="5">
        <v>0.45</v>
      </c>
      <c r="C79" s="5" t="s">
        <v>377</v>
      </c>
    </row>
    <row r="80" ht="15.75" customHeight="1">
      <c r="A80" s="5" t="s">
        <v>266</v>
      </c>
      <c r="B80" s="5">
        <v>0.55</v>
      </c>
      <c r="C80" s="5" t="s">
        <v>378</v>
      </c>
    </row>
    <row r="81" ht="15.75" customHeight="1">
      <c r="A81" s="5" t="s">
        <v>269</v>
      </c>
      <c r="B81" s="5">
        <v>0.4</v>
      </c>
      <c r="C81" s="5" t="s">
        <v>379</v>
      </c>
    </row>
    <row r="82" ht="15.75" customHeight="1">
      <c r="A82" s="5" t="s">
        <v>272</v>
      </c>
      <c r="B82" s="5">
        <v>0.4</v>
      </c>
    </row>
    <row r="83" ht="15.75" customHeight="1">
      <c r="A83" s="5" t="s">
        <v>133</v>
      </c>
      <c r="B83" s="5">
        <v>7.2E7</v>
      </c>
      <c r="C83" s="5" t="s">
        <v>52</v>
      </c>
      <c r="D83" s="5">
        <v>0.45</v>
      </c>
      <c r="E83" s="5" t="s">
        <v>380</v>
      </c>
      <c r="G83" s="5">
        <v>22.0</v>
      </c>
      <c r="H83" s="5" t="s">
        <v>381</v>
      </c>
    </row>
    <row r="84" ht="15.75" customHeight="1">
      <c r="A84" s="5" t="s">
        <v>97</v>
      </c>
      <c r="B84" s="5">
        <v>2.5E7</v>
      </c>
      <c r="C84" s="5" t="s">
        <v>43</v>
      </c>
      <c r="D84" s="5">
        <v>0.4</v>
      </c>
      <c r="E84" s="5" t="s">
        <v>382</v>
      </c>
      <c r="G84" s="5">
        <v>18.0</v>
      </c>
      <c r="H84" s="5" t="s">
        <v>383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